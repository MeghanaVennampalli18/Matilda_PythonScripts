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matildacloud-my.sharepoint.com/personal/mvennampalli_matildacloud_com/Documents/Python/"/>
    </mc:Choice>
  </mc:AlternateContent>
  <xr:revisionPtr revIDLastSave="32" documentId="11_7CC9BB17937CCA0E62355476585DCE3A8746E493" xr6:coauthVersionLast="47" xr6:coauthVersionMax="47" xr10:uidLastSave="{E6A80545-4092-4E9B-81E4-70CA3D9D0366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7" i="1" l="1"/>
  <c r="L36" i="1"/>
  <c r="L8" i="1"/>
  <c r="L2" i="1"/>
  <c r="L93" i="1"/>
  <c r="L87" i="1"/>
  <c r="L76" i="1"/>
  <c r="L65" i="1"/>
  <c r="L61" i="1"/>
  <c r="L59" i="1"/>
  <c r="L44" i="1"/>
  <c r="L29" i="1"/>
  <c r="L26" i="1"/>
  <c r="L24" i="1"/>
  <c r="L23" i="1"/>
  <c r="L22" i="1"/>
  <c r="L18" i="1"/>
  <c r="L17" i="1"/>
  <c r="L13" i="1"/>
  <c r="L4" i="1"/>
  <c r="L98" i="1"/>
  <c r="L92" i="1"/>
  <c r="L91" i="1"/>
  <c r="L80" i="1"/>
  <c r="L77" i="1"/>
  <c r="L73" i="1"/>
  <c r="L69" i="1"/>
  <c r="L68" i="1"/>
  <c r="L64" i="1"/>
  <c r="L56" i="1"/>
  <c r="L49" i="1"/>
  <c r="L37" i="1"/>
  <c r="L31" i="1"/>
  <c r="L10" i="1"/>
  <c r="L9" i="1"/>
</calcChain>
</file>

<file path=xl/sharedStrings.xml><?xml version="1.0" encoding="utf-8"?>
<sst xmlns="http://schemas.openxmlformats.org/spreadsheetml/2006/main" count="894" uniqueCount="127">
  <si>
    <t>ProductCode</t>
  </si>
  <si>
    <t>CostCategory</t>
  </si>
  <si>
    <t>LineItemOperation</t>
  </si>
  <si>
    <t>LineItemDescription</t>
  </si>
  <si>
    <t>UsageType</t>
  </si>
  <si>
    <t>BillingUnit</t>
  </si>
  <si>
    <t>usageAmount</t>
  </si>
  <si>
    <t>cost</t>
  </si>
  <si>
    <t>OCI Service</t>
  </si>
  <si>
    <t>Reference</t>
  </si>
  <si>
    <t>OCI Unit Price</t>
  </si>
  <si>
    <t>OCI Cost</t>
  </si>
  <si>
    <t>Comments</t>
  </si>
  <si>
    <t>AmazonDynamoDB</t>
  </si>
  <si>
    <t>OnDemand</t>
  </si>
  <si>
    <t>CommittedThroughput</t>
  </si>
  <si>
    <t>$0.000975 per hour for units of replicated write capacity beyond the free tier</t>
  </si>
  <si>
    <t>ReplWriteCapacityUnit-Hrs</t>
  </si>
  <si>
    <t>Unit</t>
  </si>
  <si>
    <t>OCI NoSQL Database</t>
  </si>
  <si>
    <t>https://www.oracle.com/database/nosql/pricing/#on-demand-capacity-pricing</t>
  </si>
  <si>
    <t>PayPerRequestThroughput</t>
  </si>
  <si>
    <t>$1.4135 per million write request units (EU (Ireland))</t>
  </si>
  <si>
    <t>EU-WriteRequestUnits</t>
  </si>
  <si>
    <t>Write Requests</t>
  </si>
  <si>
    <t>$3.135 for on Demand Capacity – Write</t>
  </si>
  <si>
    <t>Reserved Instance Coverage</t>
  </si>
  <si>
    <t>Amazon DynamoDB, Reserved Write Capacity used this month</t>
  </si>
  <si>
    <t>USE2-WriteCapacityUnit-Hrs</t>
  </si>
  <si>
    <t>Enterprise Discount Program Discount for AmazonDynamoDB</t>
  </si>
  <si>
    <t>IA-ReadRequestUnits</t>
  </si>
  <si>
    <t>Other</t>
  </si>
  <si>
    <t>$0.2827 per million read request units (EU (Ireland))</t>
  </si>
  <si>
    <t>EU-ReadRequestUnits</t>
  </si>
  <si>
    <t>Read Requests</t>
  </si>
  <si>
    <t>$0.16 for On-Demand Capacity – Read</t>
  </si>
  <si>
    <t>StandardPitrBackupStorage</t>
  </si>
  <si>
    <t>$0.20 per GB-Month of storage used for DynamoDB PITR backup</t>
  </si>
  <si>
    <t>USW2-TimedPITRStorage-ByteHrs</t>
  </si>
  <si>
    <t>GB-Month</t>
  </si>
  <si>
    <t xml:space="preserve">$0.066 for on demand capacity - Storage </t>
  </si>
  <si>
    <t>$0.00 per hour for 25 units of replicated write capacity for a month (free tier)</t>
  </si>
  <si>
    <t>$0.00 per hour for 25 units of read capacity for a month (free tier)</t>
  </si>
  <si>
    <t>EUC1-ReadCapacityUnit-Hrs</t>
  </si>
  <si>
    <t>USD 0.0 per ReadCapacityUnit-Hrs for ReadCapacityUnit-HrsCommittedThroughput in EU (Stockholm)</t>
  </si>
  <si>
    <t>EUN1-ReadCapacityUnit-Hrs</t>
  </si>
  <si>
    <t>$1.875 per million replicated write request units (N. Virginia)</t>
  </si>
  <si>
    <t>ReplWriteRequestUnits</t>
  </si>
  <si>
    <t>$0.00 per hour for 25 units of write capacity for a month (free tier)</t>
  </si>
  <si>
    <t>WriteCapacityUnit-Hrs</t>
  </si>
  <si>
    <t>$1.3942 per million write request units</t>
  </si>
  <si>
    <t>USW1-WriteRequestUnits</t>
  </si>
  <si>
    <t>$0.2788 per million read request units</t>
  </si>
  <si>
    <t>USW1-ReadRequestUnits</t>
  </si>
  <si>
    <t>USW1-WriteCapacityUnit-Hrs</t>
  </si>
  <si>
    <t>$0.00065 per hour for units of write capacity beyond the free tier</t>
  </si>
  <si>
    <t>USW2-WriteCapacityUnit-Hrs</t>
  </si>
  <si>
    <t>WriteRequestUnits</t>
  </si>
  <si>
    <t>USE1-TimedPITRStorage-ByteHrs</t>
  </si>
  <si>
    <t>$0.25 per million read request units (N. Virginia)</t>
  </si>
  <si>
    <t>ReadRequestUnits</t>
  </si>
  <si>
    <t>USD 0.0 per WriteCapacityUnit-Hrs for WriteCapacityUnit-HrsCommittedThroughput in EU (Stockholm)</t>
  </si>
  <si>
    <t>EUN1-WriteCapacityUnit-Hrs</t>
  </si>
  <si>
    <t>USW2-ReplWriteRequestUnits</t>
  </si>
  <si>
    <t>ImportTable</t>
  </si>
  <si>
    <t>$0.1500 per GB for data import in US East (N. Virginia)</t>
  </si>
  <si>
    <t>USE1-ImportDataSize-Bytes</t>
  </si>
  <si>
    <t>GB</t>
  </si>
  <si>
    <t>USW2-WriteRequestUnits</t>
  </si>
  <si>
    <t>ReadCapacityUnit-Hrs</t>
  </si>
  <si>
    <t>GetRecords</t>
  </si>
  <si>
    <t>$0.00 for 2.5 million DynamoDB Streams read request units for a month (free tier) (EU (Ireland))</t>
  </si>
  <si>
    <t>EU-Streams-Requests</t>
  </si>
  <si>
    <t>Requests</t>
  </si>
  <si>
    <t>BackupStorage</t>
  </si>
  <si>
    <t>USE1-TimedBackupStorage-ByteHrs</t>
  </si>
  <si>
    <t>$1.25 per million write request units (Oregon)</t>
  </si>
  <si>
    <t>EU-ReplWriteCapacityUnit-Hrs</t>
  </si>
  <si>
    <t>Amazon DynamoDB, Reserved Read Capacity used this month</t>
  </si>
  <si>
    <t>$0.10 per GB-Month of storage used for on-demand backup</t>
  </si>
  <si>
    <t>USW2-TimedBackupStorage-ByteHrs</t>
  </si>
  <si>
    <t>USE2-ReadCapacityUnit-Hrs</t>
  </si>
  <si>
    <t>USW1-TimedPITRStorage-ByteHrs</t>
  </si>
  <si>
    <t>$0.224 per GB-Month of storage used for DynamoDB PITR backup</t>
  </si>
  <si>
    <t>$2.1202 per million replicated write request units (EU (Ireland))</t>
  </si>
  <si>
    <t>EU-ReplWriteRequestUnits</t>
  </si>
  <si>
    <t>EUW2-ReadCapacityUnit-Hrs</t>
  </si>
  <si>
    <t>ExportTable</t>
  </si>
  <si>
    <t>$0.10000 per GB of data exported in US East (N. Virginia)</t>
  </si>
  <si>
    <t>USE1-ExportDataSize-Bytes</t>
  </si>
  <si>
    <t>DelegatedOperations</t>
  </si>
  <si>
    <t>$0.10000 per million change data capture units for Kinesis Data Streams in US East (N. Virginia)</t>
  </si>
  <si>
    <t>USE1-ChangeDataCaptureUnits-Kinesis</t>
  </si>
  <si>
    <t>$0.00 for 2.5 million DynamoDB Streams read request units for a month (free tier) (US East (N. Virginia))</t>
  </si>
  <si>
    <t>USE1-Streams-Requests</t>
  </si>
  <si>
    <t>USW2-ReadCapacityUnit-Hrs</t>
  </si>
  <si>
    <t>$1.875 per million replicated write request units (Oregon)</t>
  </si>
  <si>
    <t>$0.11 per GB-Month of storage used for on-demand backup</t>
  </si>
  <si>
    <t>EU-TimedBackupStorage-ByteHrs</t>
  </si>
  <si>
    <t>$0.000725 per hour for units of write capacity beyond the free tier</t>
  </si>
  <si>
    <t>EU-TimedPITRStorage-ByteHrs</t>
  </si>
  <si>
    <t>$0.112 per GB-Month of storage used for on-demand backup</t>
  </si>
  <si>
    <t>USW1-TimedBackupStorage-ByteHrs</t>
  </si>
  <si>
    <t>USW1-ReadCapacityUnit-Hrs</t>
  </si>
  <si>
    <t>EU-WriteCapacityUnit-Hrs</t>
  </si>
  <si>
    <t>USW2-ReplWriteCapacityUnit-Hrs</t>
  </si>
  <si>
    <t>$0.00013 per hour for units of read capacity beyond the free tier</t>
  </si>
  <si>
    <t>EUW2-TimedBackupStorage-ByteHrs</t>
  </si>
  <si>
    <t>EUC1-WriteCapacityUnit-Hrs</t>
  </si>
  <si>
    <t>RestoreTable</t>
  </si>
  <si>
    <t>$0.15 per GB of data restored</t>
  </si>
  <si>
    <t>USE1-RestoreDataSize-Bytes</t>
  </si>
  <si>
    <t>$0.22 per GB-Month of storage used for DynamoDB PITR backup</t>
  </si>
  <si>
    <t>$0.11886 per GB-Month of storage used for on-demand backup</t>
  </si>
  <si>
    <t>EUW2-WriteCapacityUnit-Hrs</t>
  </si>
  <si>
    <t>$0.31000 per million IA read request units in US East (N. Virginia)</t>
  </si>
  <si>
    <t>$0.00 for 2.5 million DynamoDB Streams read request units for a month (free tier) (US West (Oregon))</t>
  </si>
  <si>
    <t>USW2-Streams-Requests</t>
  </si>
  <si>
    <t>EU-ReadCapacityUnit-Hrs</t>
  </si>
  <si>
    <t>$0.000735 per hour for units of write capacity beyond the free tier</t>
  </si>
  <si>
    <t>$1.25 per million write request units (N. Virginia)</t>
  </si>
  <si>
    <t>USW2-ReadRequestUnits</t>
  </si>
  <si>
    <t>$0.25 per million read request units (Oregon)</t>
  </si>
  <si>
    <t>$0.0064/744 per hour for Provisioned Capacity-Read</t>
  </si>
  <si>
    <t>$0.1254/744 for Provisioned Capacity – Write</t>
  </si>
  <si>
    <t>$0.36/744 per hour for provisioned capacity - Regional Replicated Write</t>
  </si>
  <si>
    <t>Usage amount is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</si>
</sst>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71"/>
  <sheetViews>
    <sheetView tabSelected="1" workbookViewId="0">
      <selection activeCell="D16" sqref="D16"/>
    </sheetView>
  </sheetViews>
  <sheetFormatPr defaultRowHeight="14.4" x14ac:dyDescent="0.3"/>
  <cols>
    <col min="1" max="1" width="17.6640625" bestFit="1" customWidth="1"/>
    <col min="2" max="2" width="25.6640625" bestFit="1" customWidth="1"/>
    <col min="3" max="3" width="24.88671875" bestFit="1" customWidth="1"/>
    <col min="4" max="4" width="91.88671875" bestFit="1" customWidth="1"/>
    <col min="5" max="5" width="35" bestFit="1" customWidth="1"/>
    <col min="6" max="6" width="14.33203125" bestFit="1" customWidth="1"/>
    <col min="7" max="7" width="13" bestFit="1" customWidth="1"/>
    <col min="8" max="8" width="12" bestFit="1" customWidth="1"/>
    <col min="9" max="9" width="18.77734375" bestFit="1" customWidth="1"/>
    <col min="10" max="10" width="71.109375" bestFit="1" customWidth="1"/>
    <col min="11" max="11" width="13" bestFit="1" customWidth="1"/>
    <col min="12" max="12" width="12" bestFit="1" customWidth="1"/>
    <col min="13" max="13" width="36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35478800</v>
      </c>
      <c r="H2">
        <v>27145.820489999998</v>
      </c>
      <c r="I2" t="s">
        <v>19</v>
      </c>
      <c r="J2" t="s">
        <v>20</v>
      </c>
      <c r="K2">
        <v>0.36</v>
      </c>
      <c r="L2">
        <f>K2*G2/744</f>
        <v>17167.16129032258</v>
      </c>
      <c r="M2" t="s">
        <v>125</v>
      </c>
    </row>
    <row r="3" spans="1:13" x14ac:dyDescent="0.3">
      <c r="A3" t="s">
        <v>13</v>
      </c>
      <c r="B3" t="s">
        <v>14</v>
      </c>
      <c r="C3" t="s">
        <v>21</v>
      </c>
      <c r="D3" t="s">
        <v>22</v>
      </c>
      <c r="E3" t="s">
        <v>23</v>
      </c>
      <c r="F3" t="s">
        <v>24</v>
      </c>
      <c r="G3">
        <v>109239181</v>
      </c>
      <c r="H3">
        <v>121.1600005</v>
      </c>
      <c r="I3" t="s">
        <v>19</v>
      </c>
      <c r="J3" t="s">
        <v>20</v>
      </c>
      <c r="K3">
        <v>3.1349999999999998</v>
      </c>
      <c r="L3">
        <v>342.46483243500001</v>
      </c>
      <c r="M3" t="s">
        <v>25</v>
      </c>
    </row>
    <row r="4" spans="1:13" x14ac:dyDescent="0.3">
      <c r="A4" t="s">
        <v>13</v>
      </c>
      <c r="B4" t="s">
        <v>26</v>
      </c>
      <c r="C4" t="s">
        <v>15</v>
      </c>
      <c r="D4" t="s">
        <v>27</v>
      </c>
      <c r="E4" t="s">
        <v>28</v>
      </c>
      <c r="F4" t="s">
        <v>18</v>
      </c>
      <c r="G4">
        <v>55939</v>
      </c>
      <c r="H4">
        <v>6.5499999019999997</v>
      </c>
      <c r="I4" t="s">
        <v>19</v>
      </c>
      <c r="J4" t="s">
        <v>20</v>
      </c>
      <c r="K4">
        <v>0.12540000000000001</v>
      </c>
      <c r="L4">
        <f>K4*G4/744</f>
        <v>9.4284282258064529</v>
      </c>
      <c r="M4" t="s">
        <v>124</v>
      </c>
    </row>
    <row r="5" spans="1:13" x14ac:dyDescent="0.3">
      <c r="A5" t="s">
        <v>13</v>
      </c>
      <c r="B5" t="s">
        <v>14</v>
      </c>
      <c r="C5" t="s">
        <v>21</v>
      </c>
      <c r="D5" t="s">
        <v>29</v>
      </c>
      <c r="E5" t="s">
        <v>30</v>
      </c>
      <c r="F5" t="s">
        <v>31</v>
      </c>
      <c r="G5">
        <v>0</v>
      </c>
      <c r="H5">
        <v>0</v>
      </c>
      <c r="I5" t="s">
        <v>19</v>
      </c>
      <c r="J5" t="s">
        <v>20</v>
      </c>
      <c r="K5">
        <v>0</v>
      </c>
      <c r="L5">
        <v>0</v>
      </c>
      <c r="M5" t="s">
        <v>126</v>
      </c>
    </row>
    <row r="6" spans="1:13" x14ac:dyDescent="0.3">
      <c r="A6" t="s">
        <v>13</v>
      </c>
      <c r="B6" t="s">
        <v>14</v>
      </c>
      <c r="C6" t="s">
        <v>21</v>
      </c>
      <c r="D6" t="s">
        <v>32</v>
      </c>
      <c r="E6" t="s">
        <v>33</v>
      </c>
      <c r="F6" t="s">
        <v>34</v>
      </c>
      <c r="G6">
        <v>4131737673</v>
      </c>
      <c r="H6">
        <v>917.60002919999999</v>
      </c>
      <c r="I6" t="s">
        <v>19</v>
      </c>
      <c r="J6" t="s">
        <v>20</v>
      </c>
      <c r="K6">
        <v>0.16</v>
      </c>
      <c r="L6">
        <v>661.0780276800001</v>
      </c>
      <c r="M6" t="s">
        <v>35</v>
      </c>
    </row>
    <row r="7" spans="1:13" x14ac:dyDescent="0.3">
      <c r="A7" t="s">
        <v>13</v>
      </c>
      <c r="B7" t="s">
        <v>14</v>
      </c>
      <c r="C7" t="s">
        <v>36</v>
      </c>
      <c r="D7" t="s">
        <v>37</v>
      </c>
      <c r="E7" t="s">
        <v>38</v>
      </c>
      <c r="F7" t="s">
        <v>39</v>
      </c>
      <c r="G7">
        <v>0</v>
      </c>
      <c r="H7">
        <v>0</v>
      </c>
      <c r="I7" t="s">
        <v>19</v>
      </c>
      <c r="J7" t="s">
        <v>20</v>
      </c>
      <c r="K7">
        <v>6.6000000000000003E-2</v>
      </c>
      <c r="L7">
        <v>0</v>
      </c>
      <c r="M7" t="s">
        <v>40</v>
      </c>
    </row>
    <row r="8" spans="1:13" x14ac:dyDescent="0.3">
      <c r="A8" t="s">
        <v>13</v>
      </c>
      <c r="B8" t="s">
        <v>14</v>
      </c>
      <c r="C8" t="s">
        <v>15</v>
      </c>
      <c r="D8" t="s">
        <v>41</v>
      </c>
      <c r="E8" t="s">
        <v>17</v>
      </c>
      <c r="F8" t="s">
        <v>18</v>
      </c>
      <c r="G8">
        <v>18600</v>
      </c>
      <c r="H8">
        <v>0</v>
      </c>
      <c r="I8" t="s">
        <v>19</v>
      </c>
      <c r="J8" t="s">
        <v>20</v>
      </c>
      <c r="K8">
        <v>0.36</v>
      </c>
      <c r="L8">
        <f>K8*G8/744</f>
        <v>9</v>
      </c>
      <c r="M8" t="s">
        <v>125</v>
      </c>
    </row>
    <row r="9" spans="1:13" x14ac:dyDescent="0.3">
      <c r="A9" t="s">
        <v>13</v>
      </c>
      <c r="B9" t="s">
        <v>14</v>
      </c>
      <c r="C9" t="s">
        <v>15</v>
      </c>
      <c r="D9" t="s">
        <v>42</v>
      </c>
      <c r="E9" t="s">
        <v>43</v>
      </c>
      <c r="F9" t="s">
        <v>18</v>
      </c>
      <c r="G9">
        <v>744</v>
      </c>
      <c r="H9">
        <v>0</v>
      </c>
      <c r="I9" t="s">
        <v>19</v>
      </c>
      <c r="J9" t="s">
        <v>20</v>
      </c>
      <c r="K9">
        <v>6.4000000000000003E-3</v>
      </c>
      <c r="L9">
        <f>K9*G9/744</f>
        <v>6.4000000000000003E-3</v>
      </c>
      <c r="M9" t="s">
        <v>123</v>
      </c>
    </row>
    <row r="10" spans="1:13" x14ac:dyDescent="0.3">
      <c r="A10" t="s">
        <v>13</v>
      </c>
      <c r="B10" t="s">
        <v>14</v>
      </c>
      <c r="C10" t="s">
        <v>15</v>
      </c>
      <c r="D10" t="s">
        <v>44</v>
      </c>
      <c r="E10" t="s">
        <v>45</v>
      </c>
      <c r="F10" t="s">
        <v>18</v>
      </c>
      <c r="G10">
        <v>1488</v>
      </c>
      <c r="H10">
        <v>0</v>
      </c>
      <c r="I10" t="s">
        <v>19</v>
      </c>
      <c r="J10" t="s">
        <v>20</v>
      </c>
      <c r="K10">
        <v>6.4000000000000003E-3</v>
      </c>
      <c r="L10">
        <f>K10*G10/744</f>
        <v>1.2800000000000001E-2</v>
      </c>
      <c r="M10" t="s">
        <v>123</v>
      </c>
    </row>
    <row r="11" spans="1:13" x14ac:dyDescent="0.3">
      <c r="A11" t="s">
        <v>13</v>
      </c>
      <c r="B11" t="s">
        <v>14</v>
      </c>
      <c r="C11" t="s">
        <v>21</v>
      </c>
      <c r="D11" t="s">
        <v>29</v>
      </c>
      <c r="E11" t="s">
        <v>33</v>
      </c>
      <c r="F11" t="s">
        <v>31</v>
      </c>
      <c r="G11">
        <v>0</v>
      </c>
      <c r="H11">
        <v>0</v>
      </c>
      <c r="I11" t="s">
        <v>19</v>
      </c>
      <c r="J11" t="s">
        <v>20</v>
      </c>
      <c r="K11">
        <v>0</v>
      </c>
      <c r="L11">
        <v>0</v>
      </c>
      <c r="M11" t="s">
        <v>126</v>
      </c>
    </row>
    <row r="12" spans="1:13" x14ac:dyDescent="0.3">
      <c r="A12" t="s">
        <v>13</v>
      </c>
      <c r="B12" t="s">
        <v>14</v>
      </c>
      <c r="C12" t="s">
        <v>21</v>
      </c>
      <c r="D12" t="s">
        <v>46</v>
      </c>
      <c r="E12" t="s">
        <v>47</v>
      </c>
      <c r="F12" t="s">
        <v>24</v>
      </c>
      <c r="G12">
        <v>523506712</v>
      </c>
      <c r="H12">
        <v>770.28999859999999</v>
      </c>
      <c r="I12" t="s">
        <v>19</v>
      </c>
      <c r="J12" t="s">
        <v>20</v>
      </c>
      <c r="K12">
        <v>3.1349999999999998</v>
      </c>
      <c r="L12">
        <v>1641.1935421200001</v>
      </c>
      <c r="M12" t="s">
        <v>25</v>
      </c>
    </row>
    <row r="13" spans="1:13" x14ac:dyDescent="0.3">
      <c r="A13" t="s">
        <v>13</v>
      </c>
      <c r="B13" t="s">
        <v>14</v>
      </c>
      <c r="C13" t="s">
        <v>15</v>
      </c>
      <c r="D13" t="s">
        <v>48</v>
      </c>
      <c r="E13" t="s">
        <v>49</v>
      </c>
      <c r="F13" t="s">
        <v>18</v>
      </c>
      <c r="G13">
        <v>17116</v>
      </c>
      <c r="H13">
        <v>0</v>
      </c>
      <c r="I13" t="s">
        <v>19</v>
      </c>
      <c r="J13" t="s">
        <v>20</v>
      </c>
      <c r="K13">
        <v>0.12540000000000001</v>
      </c>
      <c r="L13">
        <f>K13*G13/744</f>
        <v>2.8848741935483875</v>
      </c>
      <c r="M13" t="s">
        <v>124</v>
      </c>
    </row>
    <row r="14" spans="1:13" x14ac:dyDescent="0.3">
      <c r="A14" t="s">
        <v>13</v>
      </c>
      <c r="B14" t="s">
        <v>14</v>
      </c>
      <c r="C14" t="s">
        <v>15</v>
      </c>
      <c r="D14" t="s">
        <v>29</v>
      </c>
      <c r="E14" t="s">
        <v>17</v>
      </c>
      <c r="F14" t="s">
        <v>31</v>
      </c>
      <c r="G14">
        <v>0</v>
      </c>
      <c r="H14">
        <v>0</v>
      </c>
      <c r="I14" t="s">
        <v>19</v>
      </c>
      <c r="J14" t="s">
        <v>20</v>
      </c>
      <c r="K14">
        <v>0</v>
      </c>
      <c r="L14">
        <v>0</v>
      </c>
      <c r="M14" t="s">
        <v>126</v>
      </c>
    </row>
    <row r="15" spans="1:13" x14ac:dyDescent="0.3">
      <c r="A15" t="s">
        <v>13</v>
      </c>
      <c r="B15" t="s">
        <v>14</v>
      </c>
      <c r="C15" t="s">
        <v>21</v>
      </c>
      <c r="D15" t="s">
        <v>50</v>
      </c>
      <c r="E15" t="s">
        <v>51</v>
      </c>
      <c r="F15" t="s">
        <v>24</v>
      </c>
      <c r="G15">
        <v>103804</v>
      </c>
      <c r="H15">
        <v>0.109999999</v>
      </c>
      <c r="I15" t="s">
        <v>19</v>
      </c>
      <c r="J15" t="s">
        <v>20</v>
      </c>
      <c r="K15">
        <v>3.1349999999999998</v>
      </c>
      <c r="L15">
        <v>0.32542554000000001</v>
      </c>
      <c r="M15" t="s">
        <v>25</v>
      </c>
    </row>
    <row r="16" spans="1:13" x14ac:dyDescent="0.3">
      <c r="A16" t="s">
        <v>13</v>
      </c>
      <c r="B16" t="s">
        <v>14</v>
      </c>
      <c r="C16" t="s">
        <v>21</v>
      </c>
      <c r="D16" t="s">
        <v>52</v>
      </c>
      <c r="E16" t="s">
        <v>53</v>
      </c>
      <c r="F16" t="s">
        <v>34</v>
      </c>
      <c r="G16">
        <v>215749952</v>
      </c>
      <c r="H16">
        <v>47.240001679999999</v>
      </c>
      <c r="I16" t="s">
        <v>19</v>
      </c>
      <c r="J16" t="s">
        <v>20</v>
      </c>
      <c r="K16">
        <v>0.16</v>
      </c>
      <c r="L16">
        <v>34.51999232</v>
      </c>
      <c r="M16" t="s">
        <v>35</v>
      </c>
    </row>
    <row r="17" spans="1:13" x14ac:dyDescent="0.3">
      <c r="A17" t="s">
        <v>13</v>
      </c>
      <c r="B17" t="s">
        <v>14</v>
      </c>
      <c r="C17" t="s">
        <v>15</v>
      </c>
      <c r="D17" t="s">
        <v>48</v>
      </c>
      <c r="E17" t="s">
        <v>54</v>
      </c>
      <c r="F17" t="s">
        <v>18</v>
      </c>
      <c r="G17">
        <v>8568</v>
      </c>
      <c r="H17">
        <v>0</v>
      </c>
      <c r="I17" t="s">
        <v>19</v>
      </c>
      <c r="J17" t="s">
        <v>20</v>
      </c>
      <c r="K17">
        <v>0.12540000000000001</v>
      </c>
      <c r="L17">
        <f t="shared" ref="L17:L18" si="0">K17*G17/744</f>
        <v>1.4441225806451614</v>
      </c>
      <c r="M17" t="s">
        <v>124</v>
      </c>
    </row>
    <row r="18" spans="1:13" x14ac:dyDescent="0.3">
      <c r="A18" t="s">
        <v>13</v>
      </c>
      <c r="B18" t="s">
        <v>14</v>
      </c>
      <c r="C18" t="s">
        <v>15</v>
      </c>
      <c r="D18" t="s">
        <v>55</v>
      </c>
      <c r="E18" t="s">
        <v>56</v>
      </c>
      <c r="F18" t="s">
        <v>18</v>
      </c>
      <c r="G18">
        <v>33380250</v>
      </c>
      <c r="H18">
        <v>17026.779890000002</v>
      </c>
      <c r="I18" t="s">
        <v>19</v>
      </c>
      <c r="J18" t="s">
        <v>20</v>
      </c>
      <c r="K18">
        <v>0.12540000000000001</v>
      </c>
      <c r="L18">
        <f t="shared" si="0"/>
        <v>5626.1872983870971</v>
      </c>
      <c r="M18" t="s">
        <v>124</v>
      </c>
    </row>
    <row r="19" spans="1:13" x14ac:dyDescent="0.3">
      <c r="A19" t="s">
        <v>13</v>
      </c>
      <c r="B19" t="s">
        <v>14</v>
      </c>
      <c r="C19" t="s">
        <v>21</v>
      </c>
      <c r="D19" t="s">
        <v>29</v>
      </c>
      <c r="E19" t="s">
        <v>57</v>
      </c>
      <c r="F19" t="s">
        <v>31</v>
      </c>
      <c r="G19">
        <v>0</v>
      </c>
      <c r="H19">
        <v>0</v>
      </c>
      <c r="I19" t="s">
        <v>19</v>
      </c>
      <c r="J19" t="s">
        <v>20</v>
      </c>
      <c r="K19">
        <v>0</v>
      </c>
      <c r="L19">
        <v>0</v>
      </c>
      <c r="M19" t="s">
        <v>126</v>
      </c>
    </row>
    <row r="20" spans="1:13" x14ac:dyDescent="0.3">
      <c r="A20" t="s">
        <v>13</v>
      </c>
      <c r="B20" t="s">
        <v>14</v>
      </c>
      <c r="C20" t="s">
        <v>36</v>
      </c>
      <c r="D20" t="s">
        <v>37</v>
      </c>
      <c r="E20" t="s">
        <v>58</v>
      </c>
      <c r="F20" t="s">
        <v>39</v>
      </c>
      <c r="G20">
        <v>1693.0799910000001</v>
      </c>
      <c r="H20">
        <v>265.69999660000002</v>
      </c>
      <c r="I20" t="s">
        <v>19</v>
      </c>
      <c r="J20" t="s">
        <v>20</v>
      </c>
      <c r="K20">
        <v>6.6000000000000003E-2</v>
      </c>
      <c r="L20">
        <v>111.743279406</v>
      </c>
      <c r="M20" t="s">
        <v>40</v>
      </c>
    </row>
    <row r="21" spans="1:13" x14ac:dyDescent="0.3">
      <c r="A21" t="s">
        <v>13</v>
      </c>
      <c r="B21" t="s">
        <v>14</v>
      </c>
      <c r="C21" t="s">
        <v>21</v>
      </c>
      <c r="D21" t="s">
        <v>59</v>
      </c>
      <c r="E21" t="s">
        <v>60</v>
      </c>
      <c r="F21" t="s">
        <v>34</v>
      </c>
      <c r="G21">
        <v>22776725448</v>
      </c>
      <c r="H21">
        <v>4468.4800290000003</v>
      </c>
      <c r="I21" t="s">
        <v>19</v>
      </c>
      <c r="J21" t="s">
        <v>20</v>
      </c>
      <c r="K21">
        <v>0.16</v>
      </c>
      <c r="L21">
        <v>3644.2760716799999</v>
      </c>
      <c r="M21" t="s">
        <v>35</v>
      </c>
    </row>
    <row r="22" spans="1:13" x14ac:dyDescent="0.3">
      <c r="A22" t="s">
        <v>13</v>
      </c>
      <c r="B22" t="s">
        <v>14</v>
      </c>
      <c r="C22" t="s">
        <v>15</v>
      </c>
      <c r="D22" t="s">
        <v>61</v>
      </c>
      <c r="E22" t="s">
        <v>62</v>
      </c>
      <c r="F22" t="s">
        <v>18</v>
      </c>
      <c r="G22">
        <v>1488</v>
      </c>
      <c r="H22">
        <v>0</v>
      </c>
      <c r="I22" t="s">
        <v>19</v>
      </c>
      <c r="J22" t="s">
        <v>20</v>
      </c>
      <c r="K22">
        <v>0.12540000000000001</v>
      </c>
      <c r="L22">
        <f t="shared" ref="L22:L24" si="1">K22*G22/744</f>
        <v>0.25080000000000002</v>
      </c>
      <c r="M22" t="s">
        <v>124</v>
      </c>
    </row>
    <row r="23" spans="1:13" x14ac:dyDescent="0.3">
      <c r="A23" t="s">
        <v>13</v>
      </c>
      <c r="B23" t="s">
        <v>14</v>
      </c>
      <c r="C23" t="s">
        <v>15</v>
      </c>
      <c r="D23" t="s">
        <v>55</v>
      </c>
      <c r="E23" t="s">
        <v>49</v>
      </c>
      <c r="F23" t="s">
        <v>18</v>
      </c>
      <c r="G23">
        <v>37638343</v>
      </c>
      <c r="H23">
        <v>19198.779879999998</v>
      </c>
      <c r="I23" t="s">
        <v>19</v>
      </c>
      <c r="J23" t="s">
        <v>20</v>
      </c>
      <c r="K23">
        <v>0.12540000000000001</v>
      </c>
      <c r="L23">
        <f t="shared" si="1"/>
        <v>6343.8820056451623</v>
      </c>
      <c r="M23" t="s">
        <v>124</v>
      </c>
    </row>
    <row r="24" spans="1:13" x14ac:dyDescent="0.3">
      <c r="A24" t="s">
        <v>13</v>
      </c>
      <c r="B24" t="s">
        <v>26</v>
      </c>
      <c r="C24" t="s">
        <v>15</v>
      </c>
      <c r="D24" t="s">
        <v>27</v>
      </c>
      <c r="E24" t="s">
        <v>49</v>
      </c>
      <c r="F24" t="s">
        <v>18</v>
      </c>
      <c r="G24">
        <v>2403301</v>
      </c>
      <c r="H24">
        <v>351.9299924</v>
      </c>
      <c r="I24" t="s">
        <v>19</v>
      </c>
      <c r="J24" t="s">
        <v>20</v>
      </c>
      <c r="K24">
        <v>0.12540000000000001</v>
      </c>
      <c r="L24">
        <f t="shared" si="1"/>
        <v>405.07250725806455</v>
      </c>
      <c r="M24" t="s">
        <v>124</v>
      </c>
    </row>
    <row r="25" spans="1:13" x14ac:dyDescent="0.3">
      <c r="A25" t="s">
        <v>13</v>
      </c>
      <c r="B25" t="s">
        <v>14</v>
      </c>
      <c r="C25" t="s">
        <v>21</v>
      </c>
      <c r="D25" t="s">
        <v>29</v>
      </c>
      <c r="E25" t="s">
        <v>63</v>
      </c>
      <c r="F25" t="s">
        <v>31</v>
      </c>
      <c r="G25">
        <v>0</v>
      </c>
      <c r="H25">
        <v>0</v>
      </c>
      <c r="I25" t="s">
        <v>19</v>
      </c>
      <c r="J25" t="s">
        <v>20</v>
      </c>
      <c r="K25">
        <v>0</v>
      </c>
      <c r="L25">
        <v>0</v>
      </c>
      <c r="M25" t="s">
        <v>126</v>
      </c>
    </row>
    <row r="26" spans="1:13" x14ac:dyDescent="0.3">
      <c r="A26" t="s">
        <v>13</v>
      </c>
      <c r="B26" t="s">
        <v>26</v>
      </c>
      <c r="C26" t="s">
        <v>15</v>
      </c>
      <c r="D26" t="s">
        <v>27</v>
      </c>
      <c r="E26" t="s">
        <v>56</v>
      </c>
      <c r="F26" t="s">
        <v>18</v>
      </c>
      <c r="G26">
        <v>488909</v>
      </c>
      <c r="H26">
        <v>80.539998269999998</v>
      </c>
      <c r="I26" t="s">
        <v>19</v>
      </c>
      <c r="J26" t="s">
        <v>20</v>
      </c>
      <c r="K26">
        <v>0.12540000000000001</v>
      </c>
      <c r="L26">
        <f>K26*G26/744</f>
        <v>82.404823387096783</v>
      </c>
      <c r="M26" t="s">
        <v>124</v>
      </c>
    </row>
    <row r="27" spans="1:13" x14ac:dyDescent="0.3">
      <c r="A27" t="s">
        <v>13</v>
      </c>
      <c r="B27" t="s">
        <v>14</v>
      </c>
      <c r="C27" t="s">
        <v>21</v>
      </c>
      <c r="D27" t="s">
        <v>29</v>
      </c>
      <c r="E27" t="s">
        <v>23</v>
      </c>
      <c r="F27" t="s">
        <v>31</v>
      </c>
      <c r="G27">
        <v>0</v>
      </c>
      <c r="H27">
        <v>0</v>
      </c>
      <c r="I27" t="s">
        <v>19</v>
      </c>
      <c r="J27" t="s">
        <v>20</v>
      </c>
      <c r="K27">
        <v>0</v>
      </c>
      <c r="L27">
        <v>0</v>
      </c>
      <c r="M27" t="s">
        <v>126</v>
      </c>
    </row>
    <row r="28" spans="1:13" x14ac:dyDescent="0.3">
      <c r="A28" t="s">
        <v>13</v>
      </c>
      <c r="B28" t="s">
        <v>14</v>
      </c>
      <c r="C28" t="s">
        <v>64</v>
      </c>
      <c r="D28" t="s">
        <v>65</v>
      </c>
      <c r="E28" t="s">
        <v>66</v>
      </c>
      <c r="F28" t="s">
        <v>67</v>
      </c>
      <c r="G28">
        <v>0.25</v>
      </c>
      <c r="H28">
        <v>2.9999998999999999E-2</v>
      </c>
      <c r="I28" t="s">
        <v>19</v>
      </c>
      <c r="J28" t="s">
        <v>20</v>
      </c>
      <c r="K28">
        <v>6.6000000000000003E-2</v>
      </c>
      <c r="L28">
        <v>1.6500000000000001E-2</v>
      </c>
      <c r="M28" t="s">
        <v>40</v>
      </c>
    </row>
    <row r="29" spans="1:13" x14ac:dyDescent="0.3">
      <c r="A29" t="s">
        <v>13</v>
      </c>
      <c r="B29" t="s">
        <v>14</v>
      </c>
      <c r="C29" t="s">
        <v>15</v>
      </c>
      <c r="D29" t="s">
        <v>48</v>
      </c>
      <c r="E29" t="s">
        <v>28</v>
      </c>
      <c r="F29" t="s">
        <v>18</v>
      </c>
      <c r="G29">
        <v>7718</v>
      </c>
      <c r="H29">
        <v>0</v>
      </c>
      <c r="I29" t="s">
        <v>19</v>
      </c>
      <c r="J29" t="s">
        <v>20</v>
      </c>
      <c r="K29">
        <v>0.12540000000000001</v>
      </c>
      <c r="L29">
        <f>K29*G29/744</f>
        <v>1.3008564516129033</v>
      </c>
      <c r="M29" t="s">
        <v>124</v>
      </c>
    </row>
    <row r="30" spans="1:13" x14ac:dyDescent="0.3">
      <c r="A30" t="s">
        <v>13</v>
      </c>
      <c r="B30" t="s">
        <v>14</v>
      </c>
      <c r="C30" t="s">
        <v>21</v>
      </c>
      <c r="D30" t="s">
        <v>29</v>
      </c>
      <c r="E30" t="s">
        <v>68</v>
      </c>
      <c r="F30" t="s">
        <v>31</v>
      </c>
      <c r="G30">
        <v>0</v>
      </c>
      <c r="H30">
        <v>0</v>
      </c>
      <c r="I30" t="s">
        <v>19</v>
      </c>
      <c r="J30" t="s">
        <v>20</v>
      </c>
      <c r="K30">
        <v>0</v>
      </c>
      <c r="L30">
        <v>0</v>
      </c>
      <c r="M30" t="s">
        <v>126</v>
      </c>
    </row>
    <row r="31" spans="1:13" x14ac:dyDescent="0.3">
      <c r="A31" t="s">
        <v>13</v>
      </c>
      <c r="B31" t="s">
        <v>14</v>
      </c>
      <c r="C31" t="s">
        <v>15</v>
      </c>
      <c r="D31" t="s">
        <v>42</v>
      </c>
      <c r="E31" t="s">
        <v>69</v>
      </c>
      <c r="F31" t="s">
        <v>18</v>
      </c>
      <c r="G31">
        <v>12485</v>
      </c>
      <c r="H31">
        <v>0</v>
      </c>
      <c r="I31" t="s">
        <v>19</v>
      </c>
      <c r="J31" t="s">
        <v>20</v>
      </c>
      <c r="K31">
        <v>6.4000000000000003E-3</v>
      </c>
      <c r="L31">
        <f>K31*G31/744</f>
        <v>0.10739784946236561</v>
      </c>
      <c r="M31" t="s">
        <v>123</v>
      </c>
    </row>
    <row r="32" spans="1:13" x14ac:dyDescent="0.3">
      <c r="A32" t="s">
        <v>13</v>
      </c>
      <c r="B32" t="s">
        <v>14</v>
      </c>
      <c r="C32" t="s">
        <v>21</v>
      </c>
      <c r="D32" t="s">
        <v>29</v>
      </c>
      <c r="E32" t="s">
        <v>51</v>
      </c>
      <c r="F32" t="s">
        <v>31</v>
      </c>
      <c r="G32">
        <v>0</v>
      </c>
      <c r="H32">
        <v>0</v>
      </c>
      <c r="I32" t="s">
        <v>19</v>
      </c>
      <c r="J32" t="s">
        <v>20</v>
      </c>
      <c r="K32">
        <v>0</v>
      </c>
      <c r="L32">
        <v>0</v>
      </c>
      <c r="M32" t="s">
        <v>126</v>
      </c>
    </row>
    <row r="33" spans="1:13" x14ac:dyDescent="0.3">
      <c r="A33" t="s">
        <v>13</v>
      </c>
      <c r="B33" t="s">
        <v>14</v>
      </c>
      <c r="C33" t="s">
        <v>70</v>
      </c>
      <c r="D33" t="s">
        <v>71</v>
      </c>
      <c r="E33" t="s">
        <v>72</v>
      </c>
      <c r="F33" t="s">
        <v>73</v>
      </c>
      <c r="G33">
        <v>6</v>
      </c>
      <c r="H33">
        <v>0</v>
      </c>
      <c r="I33" t="s">
        <v>19</v>
      </c>
      <c r="J33" t="s">
        <v>20</v>
      </c>
      <c r="K33">
        <v>0.16</v>
      </c>
      <c r="L33">
        <v>9.5999999999999991E-7</v>
      </c>
      <c r="M33" t="s">
        <v>35</v>
      </c>
    </row>
    <row r="34" spans="1:13" x14ac:dyDescent="0.3">
      <c r="A34" t="s">
        <v>13</v>
      </c>
      <c r="B34" t="s">
        <v>14</v>
      </c>
      <c r="C34" t="s">
        <v>74</v>
      </c>
      <c r="D34" t="s">
        <v>29</v>
      </c>
      <c r="E34" t="s">
        <v>75</v>
      </c>
      <c r="F34" t="s">
        <v>31</v>
      </c>
      <c r="G34">
        <v>0</v>
      </c>
      <c r="H34">
        <v>0</v>
      </c>
      <c r="I34" t="s">
        <v>19</v>
      </c>
      <c r="J34" t="s">
        <v>20</v>
      </c>
      <c r="K34">
        <v>0</v>
      </c>
      <c r="L34">
        <v>0</v>
      </c>
      <c r="M34" t="s">
        <v>126</v>
      </c>
    </row>
    <row r="35" spans="1:13" x14ac:dyDescent="0.3">
      <c r="A35" t="s">
        <v>13</v>
      </c>
      <c r="B35" t="s">
        <v>14</v>
      </c>
      <c r="C35" t="s">
        <v>21</v>
      </c>
      <c r="D35" t="s">
        <v>76</v>
      </c>
      <c r="E35" t="s">
        <v>68</v>
      </c>
      <c r="F35" t="s">
        <v>24</v>
      </c>
      <c r="G35">
        <v>746188365</v>
      </c>
      <c r="H35">
        <v>731.95998320000001</v>
      </c>
      <c r="I35" t="s">
        <v>19</v>
      </c>
      <c r="J35" t="s">
        <v>20</v>
      </c>
      <c r="K35">
        <v>3.1349999999999998</v>
      </c>
      <c r="L35">
        <v>2339.300524275</v>
      </c>
      <c r="M35" t="s">
        <v>25</v>
      </c>
    </row>
    <row r="36" spans="1:13" x14ac:dyDescent="0.3">
      <c r="A36" t="s">
        <v>13</v>
      </c>
      <c r="B36" t="s">
        <v>14</v>
      </c>
      <c r="C36" t="s">
        <v>15</v>
      </c>
      <c r="D36" t="s">
        <v>41</v>
      </c>
      <c r="E36" t="s">
        <v>77</v>
      </c>
      <c r="F36" t="s">
        <v>18</v>
      </c>
      <c r="G36">
        <v>8928</v>
      </c>
      <c r="H36">
        <v>0</v>
      </c>
      <c r="I36" t="s">
        <v>19</v>
      </c>
      <c r="J36" t="s">
        <v>20</v>
      </c>
      <c r="K36">
        <v>0.36</v>
      </c>
      <c r="L36">
        <f>K36*G36/744</f>
        <v>4.32</v>
      </c>
      <c r="M36" t="s">
        <v>125</v>
      </c>
    </row>
    <row r="37" spans="1:13" x14ac:dyDescent="0.3">
      <c r="A37" t="s">
        <v>13</v>
      </c>
      <c r="B37" t="s">
        <v>26</v>
      </c>
      <c r="C37" t="s">
        <v>15</v>
      </c>
      <c r="D37" t="s">
        <v>78</v>
      </c>
      <c r="E37" t="s">
        <v>69</v>
      </c>
      <c r="F37" t="s">
        <v>18</v>
      </c>
      <c r="G37">
        <v>7160825</v>
      </c>
      <c r="H37">
        <v>218.3500037</v>
      </c>
      <c r="I37" t="s">
        <v>19</v>
      </c>
      <c r="J37" t="s">
        <v>20</v>
      </c>
      <c r="K37">
        <v>6.4000000000000003E-3</v>
      </c>
      <c r="L37">
        <f>K37*G37/744</f>
        <v>61.59849462365591</v>
      </c>
      <c r="M37" t="s">
        <v>123</v>
      </c>
    </row>
    <row r="38" spans="1:13" x14ac:dyDescent="0.3">
      <c r="A38" t="s">
        <v>13</v>
      </c>
      <c r="B38" t="s">
        <v>14</v>
      </c>
      <c r="C38" t="s">
        <v>74</v>
      </c>
      <c r="D38" t="s">
        <v>79</v>
      </c>
      <c r="E38" t="s">
        <v>80</v>
      </c>
      <c r="F38" t="s">
        <v>39</v>
      </c>
      <c r="G38">
        <v>0.44999998800000002</v>
      </c>
      <c r="H38">
        <v>3.9999999000000001E-2</v>
      </c>
      <c r="I38" t="s">
        <v>19</v>
      </c>
      <c r="J38" t="s">
        <v>20</v>
      </c>
      <c r="K38">
        <v>6.6000000000000003E-2</v>
      </c>
      <c r="L38">
        <v>2.9699999208E-2</v>
      </c>
      <c r="M38" t="s">
        <v>40</v>
      </c>
    </row>
    <row r="39" spans="1:13" x14ac:dyDescent="0.3">
      <c r="A39" t="s">
        <v>13</v>
      </c>
      <c r="B39" t="s">
        <v>14</v>
      </c>
      <c r="C39" t="s">
        <v>15</v>
      </c>
      <c r="D39" t="s">
        <v>29</v>
      </c>
      <c r="E39" t="s">
        <v>81</v>
      </c>
      <c r="F39" t="s">
        <v>31</v>
      </c>
      <c r="G39">
        <v>0</v>
      </c>
      <c r="H39">
        <v>0</v>
      </c>
      <c r="I39" t="s">
        <v>19</v>
      </c>
      <c r="J39" t="s">
        <v>20</v>
      </c>
      <c r="K39">
        <v>0</v>
      </c>
      <c r="L39">
        <v>0</v>
      </c>
      <c r="M39" t="s">
        <v>126</v>
      </c>
    </row>
    <row r="40" spans="1:13" x14ac:dyDescent="0.3">
      <c r="A40" t="s">
        <v>13</v>
      </c>
      <c r="B40" t="s">
        <v>14</v>
      </c>
      <c r="C40" t="s">
        <v>21</v>
      </c>
      <c r="D40" t="s">
        <v>29</v>
      </c>
      <c r="E40" t="s">
        <v>47</v>
      </c>
      <c r="F40" t="s">
        <v>31</v>
      </c>
      <c r="G40">
        <v>0</v>
      </c>
      <c r="H40">
        <v>0</v>
      </c>
      <c r="I40" t="s">
        <v>19</v>
      </c>
      <c r="J40" t="s">
        <v>20</v>
      </c>
      <c r="K40">
        <v>0</v>
      </c>
      <c r="L40">
        <v>0</v>
      </c>
      <c r="M40" t="s">
        <v>126</v>
      </c>
    </row>
    <row r="41" spans="1:13" x14ac:dyDescent="0.3">
      <c r="A41" t="s">
        <v>13</v>
      </c>
      <c r="B41" t="s">
        <v>14</v>
      </c>
      <c r="C41" t="s">
        <v>36</v>
      </c>
      <c r="D41" t="s">
        <v>29</v>
      </c>
      <c r="E41" t="s">
        <v>82</v>
      </c>
      <c r="F41" t="s">
        <v>31</v>
      </c>
      <c r="G41">
        <v>0</v>
      </c>
      <c r="H41">
        <v>0</v>
      </c>
      <c r="I41" t="s">
        <v>19</v>
      </c>
      <c r="J41" t="s">
        <v>20</v>
      </c>
      <c r="K41">
        <v>0</v>
      </c>
      <c r="L41">
        <v>0</v>
      </c>
      <c r="M41" t="s">
        <v>126</v>
      </c>
    </row>
    <row r="42" spans="1:13" x14ac:dyDescent="0.3">
      <c r="A42" t="s">
        <v>13</v>
      </c>
      <c r="B42" t="s">
        <v>14</v>
      </c>
      <c r="C42" t="s">
        <v>36</v>
      </c>
      <c r="D42" t="s">
        <v>83</v>
      </c>
      <c r="E42" t="s">
        <v>82</v>
      </c>
      <c r="F42" t="s">
        <v>39</v>
      </c>
      <c r="G42">
        <v>0</v>
      </c>
      <c r="H42">
        <v>0</v>
      </c>
      <c r="I42" t="s">
        <v>19</v>
      </c>
      <c r="J42" t="s">
        <v>20</v>
      </c>
      <c r="K42">
        <v>6.6000000000000003E-2</v>
      </c>
      <c r="L42">
        <v>0</v>
      </c>
      <c r="M42" t="s">
        <v>40</v>
      </c>
    </row>
    <row r="43" spans="1:13" x14ac:dyDescent="0.3">
      <c r="A43" t="s">
        <v>13</v>
      </c>
      <c r="B43" t="s">
        <v>14</v>
      </c>
      <c r="C43" t="s">
        <v>74</v>
      </c>
      <c r="D43" t="s">
        <v>79</v>
      </c>
      <c r="E43" t="s">
        <v>75</v>
      </c>
      <c r="F43" t="s">
        <v>39</v>
      </c>
      <c r="G43">
        <v>1515.529941</v>
      </c>
      <c r="H43">
        <v>118.9299967</v>
      </c>
      <c r="I43" t="s">
        <v>19</v>
      </c>
      <c r="J43" t="s">
        <v>20</v>
      </c>
      <c r="K43">
        <v>6.6000000000000003E-2</v>
      </c>
      <c r="L43">
        <v>100.024976106</v>
      </c>
      <c r="M43" t="s">
        <v>40</v>
      </c>
    </row>
    <row r="44" spans="1:13" x14ac:dyDescent="0.3">
      <c r="A44" t="s">
        <v>13</v>
      </c>
      <c r="B44" t="s">
        <v>14</v>
      </c>
      <c r="C44" t="s">
        <v>15</v>
      </c>
      <c r="D44" t="s">
        <v>55</v>
      </c>
      <c r="E44" t="s">
        <v>28</v>
      </c>
      <c r="F44" t="s">
        <v>18</v>
      </c>
      <c r="G44">
        <v>33807</v>
      </c>
      <c r="H44">
        <v>17.239999770000001</v>
      </c>
      <c r="I44" t="s">
        <v>19</v>
      </c>
      <c r="J44" t="s">
        <v>20</v>
      </c>
      <c r="K44">
        <v>0.12540000000000001</v>
      </c>
      <c r="L44">
        <f>K44*G44/744</f>
        <v>5.6981153225806462</v>
      </c>
      <c r="M44" t="s">
        <v>124</v>
      </c>
    </row>
    <row r="45" spans="1:13" x14ac:dyDescent="0.3">
      <c r="A45" t="s">
        <v>13</v>
      </c>
      <c r="B45" t="s">
        <v>14</v>
      </c>
      <c r="C45" t="s">
        <v>74</v>
      </c>
      <c r="D45" t="s">
        <v>29</v>
      </c>
      <c r="E45" t="s">
        <v>80</v>
      </c>
      <c r="F45" t="s">
        <v>31</v>
      </c>
      <c r="G45">
        <v>0</v>
      </c>
      <c r="H45">
        <v>0</v>
      </c>
      <c r="I45" t="s">
        <v>19</v>
      </c>
      <c r="J45" t="s">
        <v>20</v>
      </c>
      <c r="K45">
        <v>0</v>
      </c>
      <c r="L45">
        <v>0</v>
      </c>
      <c r="M45" t="s">
        <v>126</v>
      </c>
    </row>
    <row r="46" spans="1:13" x14ac:dyDescent="0.3">
      <c r="A46" t="s">
        <v>13</v>
      </c>
      <c r="B46" t="s">
        <v>14</v>
      </c>
      <c r="C46" t="s">
        <v>15</v>
      </c>
      <c r="D46" t="s">
        <v>29</v>
      </c>
      <c r="E46" t="s">
        <v>56</v>
      </c>
      <c r="F46" t="s">
        <v>31</v>
      </c>
      <c r="G46">
        <v>0</v>
      </c>
      <c r="H46">
        <v>0</v>
      </c>
      <c r="I46" t="s">
        <v>19</v>
      </c>
      <c r="J46" t="s">
        <v>20</v>
      </c>
      <c r="K46">
        <v>0</v>
      </c>
      <c r="L46">
        <v>0</v>
      </c>
      <c r="M46" t="s">
        <v>126</v>
      </c>
    </row>
    <row r="47" spans="1:13" x14ac:dyDescent="0.3">
      <c r="A47" t="s">
        <v>13</v>
      </c>
      <c r="B47" t="s">
        <v>14</v>
      </c>
      <c r="C47" t="s">
        <v>15</v>
      </c>
      <c r="D47" t="s">
        <v>29</v>
      </c>
      <c r="E47" t="s">
        <v>69</v>
      </c>
      <c r="F47" t="s">
        <v>31</v>
      </c>
      <c r="G47">
        <v>0</v>
      </c>
      <c r="H47">
        <v>0</v>
      </c>
      <c r="I47" t="s">
        <v>19</v>
      </c>
      <c r="J47" t="s">
        <v>20</v>
      </c>
      <c r="K47">
        <v>0</v>
      </c>
      <c r="L47">
        <v>0</v>
      </c>
      <c r="M47" t="s">
        <v>126</v>
      </c>
    </row>
    <row r="48" spans="1:13" x14ac:dyDescent="0.3">
      <c r="A48" t="s">
        <v>13</v>
      </c>
      <c r="B48" t="s">
        <v>14</v>
      </c>
      <c r="C48" t="s">
        <v>21</v>
      </c>
      <c r="D48" t="s">
        <v>84</v>
      </c>
      <c r="E48" t="s">
        <v>85</v>
      </c>
      <c r="F48" t="s">
        <v>24</v>
      </c>
      <c r="G48">
        <v>399750118</v>
      </c>
      <c r="H48">
        <v>665.12000890000002</v>
      </c>
      <c r="I48" t="s">
        <v>19</v>
      </c>
      <c r="J48" t="s">
        <v>20</v>
      </c>
      <c r="K48">
        <v>3.1349999999999998</v>
      </c>
      <c r="L48">
        <v>1253.21661993</v>
      </c>
      <c r="M48" t="s">
        <v>25</v>
      </c>
    </row>
    <row r="49" spans="1:13" x14ac:dyDescent="0.3">
      <c r="A49" t="s">
        <v>13</v>
      </c>
      <c r="B49" t="s">
        <v>14</v>
      </c>
      <c r="C49" t="s">
        <v>15</v>
      </c>
      <c r="D49" t="s">
        <v>42</v>
      </c>
      <c r="E49" t="s">
        <v>86</v>
      </c>
      <c r="F49" t="s">
        <v>18</v>
      </c>
      <c r="G49">
        <v>5952</v>
      </c>
      <c r="H49">
        <v>0</v>
      </c>
      <c r="I49" t="s">
        <v>19</v>
      </c>
      <c r="J49" t="s">
        <v>20</v>
      </c>
      <c r="K49">
        <v>6.4000000000000003E-3</v>
      </c>
      <c r="L49">
        <f>K49*G49/744</f>
        <v>5.1200000000000002E-2</v>
      </c>
      <c r="M49" t="s">
        <v>123</v>
      </c>
    </row>
    <row r="50" spans="1:13" x14ac:dyDescent="0.3">
      <c r="A50" t="s">
        <v>13</v>
      </c>
      <c r="B50" t="s">
        <v>14</v>
      </c>
      <c r="C50" t="s">
        <v>87</v>
      </c>
      <c r="D50" t="s">
        <v>88</v>
      </c>
      <c r="E50" t="s">
        <v>89</v>
      </c>
      <c r="F50" t="s">
        <v>67</v>
      </c>
      <c r="G50">
        <v>0.18000000699999999</v>
      </c>
      <c r="H50">
        <v>0.01</v>
      </c>
      <c r="I50" t="s">
        <v>19</v>
      </c>
      <c r="J50" t="s">
        <v>20</v>
      </c>
      <c r="K50">
        <v>6.6000000000000003E-2</v>
      </c>
      <c r="L50">
        <v>1.1880000462000001E-2</v>
      </c>
      <c r="M50" t="s">
        <v>40</v>
      </c>
    </row>
    <row r="51" spans="1:13" x14ac:dyDescent="0.3">
      <c r="A51" t="s">
        <v>13</v>
      </c>
      <c r="B51" t="s">
        <v>14</v>
      </c>
      <c r="C51" t="s">
        <v>90</v>
      </c>
      <c r="D51" t="s">
        <v>91</v>
      </c>
      <c r="E51" t="s">
        <v>92</v>
      </c>
      <c r="F51" t="s">
        <v>18</v>
      </c>
      <c r="G51">
        <v>36612</v>
      </c>
      <c r="H51">
        <v>0</v>
      </c>
      <c r="I51" t="s">
        <v>19</v>
      </c>
      <c r="J51" t="s">
        <v>20</v>
      </c>
    </row>
    <row r="52" spans="1:13" x14ac:dyDescent="0.3">
      <c r="A52" t="s">
        <v>13</v>
      </c>
      <c r="B52" t="s">
        <v>14</v>
      </c>
      <c r="C52" t="s">
        <v>21</v>
      </c>
      <c r="D52" t="s">
        <v>29</v>
      </c>
      <c r="E52" t="s">
        <v>85</v>
      </c>
      <c r="F52" t="s">
        <v>31</v>
      </c>
      <c r="G52">
        <v>0</v>
      </c>
      <c r="H52">
        <v>0</v>
      </c>
      <c r="I52" t="s">
        <v>19</v>
      </c>
      <c r="J52" t="s">
        <v>20</v>
      </c>
      <c r="K52">
        <v>0</v>
      </c>
      <c r="L52">
        <v>0</v>
      </c>
      <c r="M52" t="s">
        <v>126</v>
      </c>
    </row>
    <row r="53" spans="1:13" x14ac:dyDescent="0.3">
      <c r="A53" t="s">
        <v>13</v>
      </c>
      <c r="B53" t="s">
        <v>14</v>
      </c>
      <c r="C53" t="s">
        <v>15</v>
      </c>
      <c r="D53" t="s">
        <v>29</v>
      </c>
      <c r="E53" t="s">
        <v>49</v>
      </c>
      <c r="F53" t="s">
        <v>31</v>
      </c>
      <c r="G53">
        <v>0</v>
      </c>
      <c r="H53">
        <v>0</v>
      </c>
      <c r="I53" t="s">
        <v>19</v>
      </c>
      <c r="J53" t="s">
        <v>20</v>
      </c>
      <c r="K53">
        <v>0</v>
      </c>
      <c r="L53">
        <v>0</v>
      </c>
      <c r="M53" t="s">
        <v>126</v>
      </c>
    </row>
    <row r="54" spans="1:13" x14ac:dyDescent="0.3">
      <c r="A54" t="s">
        <v>13</v>
      </c>
      <c r="B54" t="s">
        <v>14</v>
      </c>
      <c r="C54" t="s">
        <v>70</v>
      </c>
      <c r="D54" t="s">
        <v>93</v>
      </c>
      <c r="E54" t="s">
        <v>94</v>
      </c>
      <c r="F54" t="s">
        <v>73</v>
      </c>
      <c r="G54">
        <v>27</v>
      </c>
      <c r="H54">
        <v>0</v>
      </c>
      <c r="I54" t="s">
        <v>19</v>
      </c>
      <c r="J54" t="s">
        <v>20</v>
      </c>
      <c r="K54">
        <v>0.16</v>
      </c>
      <c r="L54">
        <v>4.3200000000000001E-6</v>
      </c>
      <c r="M54" t="s">
        <v>35</v>
      </c>
    </row>
    <row r="55" spans="1:13" x14ac:dyDescent="0.3">
      <c r="A55" t="s">
        <v>13</v>
      </c>
      <c r="B55" t="s">
        <v>14</v>
      </c>
      <c r="C55" t="s">
        <v>15</v>
      </c>
      <c r="D55" t="s">
        <v>29</v>
      </c>
      <c r="E55" t="s">
        <v>95</v>
      </c>
      <c r="F55" t="s">
        <v>31</v>
      </c>
      <c r="G55">
        <v>0</v>
      </c>
      <c r="H55">
        <v>0</v>
      </c>
      <c r="I55" t="s">
        <v>19</v>
      </c>
      <c r="J55" t="s">
        <v>20</v>
      </c>
      <c r="K55">
        <v>0</v>
      </c>
      <c r="L55">
        <v>0</v>
      </c>
      <c r="M55" t="s">
        <v>126</v>
      </c>
    </row>
    <row r="56" spans="1:13" x14ac:dyDescent="0.3">
      <c r="A56" t="s">
        <v>13</v>
      </c>
      <c r="B56" t="s">
        <v>26</v>
      </c>
      <c r="C56" t="s">
        <v>15</v>
      </c>
      <c r="D56" t="s">
        <v>78</v>
      </c>
      <c r="E56" t="s">
        <v>81</v>
      </c>
      <c r="F56" t="s">
        <v>18</v>
      </c>
      <c r="G56">
        <v>49714</v>
      </c>
      <c r="H56">
        <v>1.1499999759999999</v>
      </c>
      <c r="I56" t="s">
        <v>19</v>
      </c>
      <c r="J56" t="s">
        <v>20</v>
      </c>
      <c r="K56">
        <v>6.4000000000000003E-3</v>
      </c>
      <c r="L56">
        <f>K56*G56/744</f>
        <v>0.42764731182795701</v>
      </c>
      <c r="M56" t="s">
        <v>123</v>
      </c>
    </row>
    <row r="57" spans="1:13" x14ac:dyDescent="0.3">
      <c r="A57" t="s">
        <v>13</v>
      </c>
      <c r="B57" t="s">
        <v>14</v>
      </c>
      <c r="C57" t="s">
        <v>21</v>
      </c>
      <c r="D57" t="s">
        <v>96</v>
      </c>
      <c r="E57" t="s">
        <v>63</v>
      </c>
      <c r="F57" t="s">
        <v>24</v>
      </c>
      <c r="G57">
        <v>234137</v>
      </c>
      <c r="H57">
        <v>0.34000000400000002</v>
      </c>
      <c r="I57" t="s">
        <v>19</v>
      </c>
      <c r="J57" t="s">
        <v>20</v>
      </c>
      <c r="K57">
        <v>3.1349999999999998</v>
      </c>
      <c r="L57">
        <v>0.73401949499999997</v>
      </c>
      <c r="M57" t="s">
        <v>25</v>
      </c>
    </row>
    <row r="58" spans="1:13" x14ac:dyDescent="0.3">
      <c r="A58" t="s">
        <v>13</v>
      </c>
      <c r="B58" t="s">
        <v>14</v>
      </c>
      <c r="C58" t="s">
        <v>74</v>
      </c>
      <c r="D58" t="s">
        <v>97</v>
      </c>
      <c r="E58" t="s">
        <v>98</v>
      </c>
      <c r="F58" t="s">
        <v>39</v>
      </c>
      <c r="G58">
        <v>5.0000001000000002E-2</v>
      </c>
      <c r="H58">
        <v>0</v>
      </c>
      <c r="I58" t="s">
        <v>19</v>
      </c>
      <c r="J58" t="s">
        <v>20</v>
      </c>
      <c r="K58">
        <v>6.6000000000000003E-2</v>
      </c>
      <c r="L58">
        <v>3.3000000660000002E-3</v>
      </c>
      <c r="M58" t="s">
        <v>40</v>
      </c>
    </row>
    <row r="59" spans="1:13" x14ac:dyDescent="0.3">
      <c r="A59" t="s">
        <v>13</v>
      </c>
      <c r="B59" t="s">
        <v>14</v>
      </c>
      <c r="C59" t="s">
        <v>15</v>
      </c>
      <c r="D59" t="s">
        <v>99</v>
      </c>
      <c r="E59" t="s">
        <v>54</v>
      </c>
      <c r="F59" t="s">
        <v>18</v>
      </c>
      <c r="G59">
        <v>5642</v>
      </c>
      <c r="H59">
        <v>3.2099999490000002</v>
      </c>
      <c r="I59" t="s">
        <v>19</v>
      </c>
      <c r="J59" t="s">
        <v>20</v>
      </c>
      <c r="K59">
        <v>0.12540000000000001</v>
      </c>
      <c r="L59">
        <f>K59*G59/744</f>
        <v>0.95095000000000018</v>
      </c>
      <c r="M59" t="s">
        <v>124</v>
      </c>
    </row>
    <row r="60" spans="1:13" x14ac:dyDescent="0.3">
      <c r="A60" t="s">
        <v>13</v>
      </c>
      <c r="B60" t="s">
        <v>14</v>
      </c>
      <c r="C60" t="s">
        <v>15</v>
      </c>
      <c r="D60" t="s">
        <v>29</v>
      </c>
      <c r="E60" t="s">
        <v>28</v>
      </c>
      <c r="F60" t="s">
        <v>31</v>
      </c>
      <c r="G60">
        <v>0</v>
      </c>
      <c r="H60">
        <v>0</v>
      </c>
      <c r="I60" t="s">
        <v>19</v>
      </c>
      <c r="J60" t="s">
        <v>20</v>
      </c>
      <c r="K60">
        <v>0</v>
      </c>
      <c r="L60">
        <v>0</v>
      </c>
      <c r="M60" t="s">
        <v>126</v>
      </c>
    </row>
    <row r="61" spans="1:13" x14ac:dyDescent="0.3">
      <c r="A61" t="s">
        <v>13</v>
      </c>
      <c r="B61" t="s">
        <v>14</v>
      </c>
      <c r="C61" t="s">
        <v>15</v>
      </c>
      <c r="D61" t="s">
        <v>48</v>
      </c>
      <c r="E61" t="s">
        <v>56</v>
      </c>
      <c r="F61" t="s">
        <v>18</v>
      </c>
      <c r="G61">
        <v>18573</v>
      </c>
      <c r="H61">
        <v>0</v>
      </c>
      <c r="I61" t="s">
        <v>19</v>
      </c>
      <c r="J61" t="s">
        <v>20</v>
      </c>
      <c r="K61">
        <v>0.12540000000000001</v>
      </c>
      <c r="L61">
        <f>K61*G61/744</f>
        <v>3.1304491935483871</v>
      </c>
      <c r="M61" t="s">
        <v>124</v>
      </c>
    </row>
    <row r="62" spans="1:13" x14ac:dyDescent="0.3">
      <c r="A62" t="s">
        <v>13</v>
      </c>
      <c r="B62" t="s">
        <v>14</v>
      </c>
      <c r="C62" t="s">
        <v>36</v>
      </c>
      <c r="D62" t="s">
        <v>29</v>
      </c>
      <c r="E62" t="s">
        <v>100</v>
      </c>
      <c r="F62" t="s">
        <v>31</v>
      </c>
      <c r="G62">
        <v>0</v>
      </c>
      <c r="H62">
        <v>0</v>
      </c>
      <c r="I62" t="s">
        <v>19</v>
      </c>
      <c r="J62" t="s">
        <v>20</v>
      </c>
      <c r="K62">
        <v>0</v>
      </c>
      <c r="L62">
        <v>0</v>
      </c>
      <c r="M62" t="s">
        <v>126</v>
      </c>
    </row>
    <row r="63" spans="1:13" x14ac:dyDescent="0.3">
      <c r="A63" t="s">
        <v>13</v>
      </c>
      <c r="B63" t="s">
        <v>14</v>
      </c>
      <c r="C63" t="s">
        <v>74</v>
      </c>
      <c r="D63" t="s">
        <v>101</v>
      </c>
      <c r="E63" t="s">
        <v>102</v>
      </c>
      <c r="F63" t="s">
        <v>39</v>
      </c>
      <c r="G63">
        <v>0</v>
      </c>
      <c r="H63">
        <v>0</v>
      </c>
      <c r="I63" t="s">
        <v>19</v>
      </c>
      <c r="J63" t="s">
        <v>20</v>
      </c>
      <c r="K63">
        <v>6.6000000000000003E-2</v>
      </c>
      <c r="L63">
        <v>0</v>
      </c>
      <c r="M63" t="s">
        <v>40</v>
      </c>
    </row>
    <row r="64" spans="1:13" x14ac:dyDescent="0.3">
      <c r="A64" t="s">
        <v>13</v>
      </c>
      <c r="B64" t="s">
        <v>14</v>
      </c>
      <c r="C64" t="s">
        <v>15</v>
      </c>
      <c r="D64" t="s">
        <v>42</v>
      </c>
      <c r="E64" t="s">
        <v>103</v>
      </c>
      <c r="F64" t="s">
        <v>18</v>
      </c>
      <c r="G64">
        <v>333</v>
      </c>
      <c r="H64">
        <v>0</v>
      </c>
      <c r="I64" t="s">
        <v>19</v>
      </c>
      <c r="J64" t="s">
        <v>20</v>
      </c>
      <c r="K64">
        <v>6.4000000000000003E-3</v>
      </c>
      <c r="L64">
        <f>K64*G64/744</f>
        <v>2.8645161290322585E-3</v>
      </c>
      <c r="M64" t="s">
        <v>123</v>
      </c>
    </row>
    <row r="65" spans="1:13" x14ac:dyDescent="0.3">
      <c r="A65" t="s">
        <v>13</v>
      </c>
      <c r="B65" t="s">
        <v>14</v>
      </c>
      <c r="C65" t="s">
        <v>15</v>
      </c>
      <c r="D65" t="s">
        <v>48</v>
      </c>
      <c r="E65" t="s">
        <v>104</v>
      </c>
      <c r="F65" t="s">
        <v>18</v>
      </c>
      <c r="G65">
        <v>13032</v>
      </c>
      <c r="H65">
        <v>0</v>
      </c>
      <c r="I65" t="s">
        <v>19</v>
      </c>
      <c r="J65" t="s">
        <v>20</v>
      </c>
      <c r="K65">
        <v>0.12540000000000001</v>
      </c>
      <c r="L65">
        <f>K65*G65/744</f>
        <v>2.1965225806451616</v>
      </c>
      <c r="M65" t="s">
        <v>124</v>
      </c>
    </row>
    <row r="66" spans="1:13" x14ac:dyDescent="0.3">
      <c r="A66" t="s">
        <v>13</v>
      </c>
      <c r="B66" t="s">
        <v>14</v>
      </c>
      <c r="C66" t="s">
        <v>74</v>
      </c>
      <c r="D66" t="s">
        <v>29</v>
      </c>
      <c r="E66" t="s">
        <v>102</v>
      </c>
      <c r="F66" t="s">
        <v>31</v>
      </c>
      <c r="G66">
        <v>0</v>
      </c>
      <c r="H66">
        <v>0</v>
      </c>
      <c r="I66" t="s">
        <v>19</v>
      </c>
      <c r="J66" t="s">
        <v>20</v>
      </c>
      <c r="K66">
        <v>0</v>
      </c>
      <c r="L66">
        <v>0</v>
      </c>
      <c r="M66" t="s">
        <v>126</v>
      </c>
    </row>
    <row r="67" spans="1:13" x14ac:dyDescent="0.3">
      <c r="A67" t="s">
        <v>13</v>
      </c>
      <c r="B67" t="s">
        <v>14</v>
      </c>
      <c r="C67" t="s">
        <v>15</v>
      </c>
      <c r="D67" t="s">
        <v>16</v>
      </c>
      <c r="E67" t="s">
        <v>105</v>
      </c>
      <c r="F67" t="s">
        <v>18</v>
      </c>
      <c r="G67">
        <v>30389999</v>
      </c>
      <c r="H67">
        <v>23252.229800000001</v>
      </c>
      <c r="I67" t="s">
        <v>19</v>
      </c>
      <c r="J67" t="s">
        <v>20</v>
      </c>
      <c r="K67">
        <v>0.36</v>
      </c>
      <c r="L67">
        <f>K67*G67/744</f>
        <v>14704.83822580645</v>
      </c>
      <c r="M67" t="s">
        <v>125</v>
      </c>
    </row>
    <row r="68" spans="1:13" x14ac:dyDescent="0.3">
      <c r="A68" t="s">
        <v>13</v>
      </c>
      <c r="B68" t="s">
        <v>14</v>
      </c>
      <c r="C68" t="s">
        <v>15</v>
      </c>
      <c r="D68" t="s">
        <v>106</v>
      </c>
      <c r="E68" t="s">
        <v>95</v>
      </c>
      <c r="F68" t="s">
        <v>18</v>
      </c>
      <c r="G68">
        <v>1058796</v>
      </c>
      <c r="H68">
        <v>108.0099979</v>
      </c>
      <c r="I68" t="s">
        <v>19</v>
      </c>
      <c r="J68" t="s">
        <v>20</v>
      </c>
      <c r="K68">
        <v>6.4000000000000003E-3</v>
      </c>
      <c r="L68">
        <f t="shared" ref="L68:L69" si="2">K68*G68/744</f>
        <v>9.1079225806451625</v>
      </c>
      <c r="M68" t="s">
        <v>123</v>
      </c>
    </row>
    <row r="69" spans="1:13" x14ac:dyDescent="0.3">
      <c r="A69" t="s">
        <v>13</v>
      </c>
      <c r="B69" t="s">
        <v>26</v>
      </c>
      <c r="C69" t="s">
        <v>15</v>
      </c>
      <c r="D69" t="s">
        <v>78</v>
      </c>
      <c r="E69" t="s">
        <v>103</v>
      </c>
      <c r="F69" t="s">
        <v>18</v>
      </c>
      <c r="G69">
        <v>33956</v>
      </c>
      <c r="H69">
        <v>0.89000000099999999</v>
      </c>
      <c r="I69" t="s">
        <v>19</v>
      </c>
      <c r="J69" t="s">
        <v>20</v>
      </c>
      <c r="K69">
        <v>6.4000000000000003E-3</v>
      </c>
      <c r="L69">
        <f t="shared" si="2"/>
        <v>0.29209462365591399</v>
      </c>
      <c r="M69" t="s">
        <v>123</v>
      </c>
    </row>
    <row r="70" spans="1:13" x14ac:dyDescent="0.3">
      <c r="A70" t="s">
        <v>13</v>
      </c>
      <c r="B70" t="s">
        <v>14</v>
      </c>
      <c r="C70" t="s">
        <v>15</v>
      </c>
      <c r="D70" t="s">
        <v>29</v>
      </c>
      <c r="E70" t="s">
        <v>54</v>
      </c>
      <c r="F70" t="s">
        <v>31</v>
      </c>
      <c r="G70">
        <v>0</v>
      </c>
      <c r="H70">
        <v>0</v>
      </c>
      <c r="I70" t="s">
        <v>19</v>
      </c>
      <c r="J70" t="s">
        <v>20</v>
      </c>
      <c r="K70">
        <v>0</v>
      </c>
      <c r="L70">
        <v>0</v>
      </c>
      <c r="M70" t="s">
        <v>126</v>
      </c>
    </row>
    <row r="71" spans="1:13" x14ac:dyDescent="0.3">
      <c r="A71" t="s">
        <v>13</v>
      </c>
      <c r="B71" t="s">
        <v>14</v>
      </c>
      <c r="C71" t="s">
        <v>15</v>
      </c>
      <c r="D71" t="s">
        <v>29</v>
      </c>
      <c r="E71" t="s">
        <v>105</v>
      </c>
      <c r="F71" t="s">
        <v>31</v>
      </c>
      <c r="G71">
        <v>0</v>
      </c>
      <c r="H71">
        <v>0</v>
      </c>
      <c r="I71" t="s">
        <v>19</v>
      </c>
      <c r="J71" t="s">
        <v>20</v>
      </c>
      <c r="K71">
        <v>0</v>
      </c>
      <c r="L71">
        <v>0</v>
      </c>
      <c r="M71" t="s">
        <v>126</v>
      </c>
    </row>
    <row r="72" spans="1:13" x14ac:dyDescent="0.3">
      <c r="A72" t="s">
        <v>13</v>
      </c>
      <c r="B72" t="s">
        <v>14</v>
      </c>
      <c r="C72" t="s">
        <v>36</v>
      </c>
      <c r="D72" t="s">
        <v>29</v>
      </c>
      <c r="E72" t="s">
        <v>58</v>
      </c>
      <c r="F72" t="s">
        <v>31</v>
      </c>
      <c r="G72">
        <v>0</v>
      </c>
      <c r="H72">
        <v>0</v>
      </c>
      <c r="I72" t="s">
        <v>19</v>
      </c>
      <c r="J72" t="s">
        <v>20</v>
      </c>
      <c r="K72">
        <v>0</v>
      </c>
      <c r="L72">
        <v>0</v>
      </c>
      <c r="M72" t="s">
        <v>126</v>
      </c>
    </row>
    <row r="73" spans="1:13" x14ac:dyDescent="0.3">
      <c r="A73" t="s">
        <v>13</v>
      </c>
      <c r="B73" t="s">
        <v>14</v>
      </c>
      <c r="C73" t="s">
        <v>15</v>
      </c>
      <c r="D73" t="s">
        <v>106</v>
      </c>
      <c r="E73" t="s">
        <v>69</v>
      </c>
      <c r="F73" t="s">
        <v>18</v>
      </c>
      <c r="G73">
        <v>13722368</v>
      </c>
      <c r="H73">
        <v>1399.879979</v>
      </c>
      <c r="I73" t="s">
        <v>19</v>
      </c>
      <c r="J73" t="s">
        <v>20</v>
      </c>
      <c r="K73">
        <v>6.4000000000000003E-3</v>
      </c>
      <c r="L73">
        <f>K73*G73/744</f>
        <v>118.04187526881722</v>
      </c>
      <c r="M73" t="s">
        <v>123</v>
      </c>
    </row>
    <row r="74" spans="1:13" x14ac:dyDescent="0.3">
      <c r="A74" t="s">
        <v>13</v>
      </c>
      <c r="B74" t="s">
        <v>14</v>
      </c>
      <c r="C74" t="s">
        <v>74</v>
      </c>
      <c r="D74" t="s">
        <v>29</v>
      </c>
      <c r="E74" t="s">
        <v>107</v>
      </c>
      <c r="F74" t="s">
        <v>31</v>
      </c>
      <c r="G74">
        <v>0</v>
      </c>
      <c r="H74">
        <v>0</v>
      </c>
      <c r="I74" t="s">
        <v>19</v>
      </c>
      <c r="J74" t="s">
        <v>20</v>
      </c>
      <c r="K74">
        <v>0</v>
      </c>
      <c r="L74">
        <v>0</v>
      </c>
      <c r="M74" t="s">
        <v>126</v>
      </c>
    </row>
    <row r="75" spans="1:13" x14ac:dyDescent="0.3">
      <c r="A75" t="s">
        <v>13</v>
      </c>
      <c r="B75" t="s">
        <v>14</v>
      </c>
      <c r="C75" t="s">
        <v>21</v>
      </c>
      <c r="D75" t="s">
        <v>29</v>
      </c>
      <c r="E75" t="s">
        <v>60</v>
      </c>
      <c r="F75" t="s">
        <v>31</v>
      </c>
      <c r="G75">
        <v>0</v>
      </c>
      <c r="H75">
        <v>0</v>
      </c>
      <c r="I75" t="s">
        <v>19</v>
      </c>
      <c r="J75" t="s">
        <v>20</v>
      </c>
      <c r="K75">
        <v>0</v>
      </c>
      <c r="L75">
        <v>0</v>
      </c>
      <c r="M75" t="s">
        <v>126</v>
      </c>
    </row>
    <row r="76" spans="1:13" x14ac:dyDescent="0.3">
      <c r="A76" t="s">
        <v>13</v>
      </c>
      <c r="B76" t="s">
        <v>14</v>
      </c>
      <c r="C76" t="s">
        <v>15</v>
      </c>
      <c r="D76" t="s">
        <v>48</v>
      </c>
      <c r="E76" t="s">
        <v>108</v>
      </c>
      <c r="F76" t="s">
        <v>18</v>
      </c>
      <c r="G76">
        <v>744</v>
      </c>
      <c r="H76">
        <v>0</v>
      </c>
      <c r="I76" t="s">
        <v>19</v>
      </c>
      <c r="J76" t="s">
        <v>20</v>
      </c>
      <c r="K76">
        <v>0.12540000000000001</v>
      </c>
      <c r="L76">
        <f>K76*G76/744</f>
        <v>0.12540000000000001</v>
      </c>
      <c r="M76" t="s">
        <v>124</v>
      </c>
    </row>
    <row r="77" spans="1:13" x14ac:dyDescent="0.3">
      <c r="A77" t="s">
        <v>13</v>
      </c>
      <c r="B77" t="s">
        <v>14</v>
      </c>
      <c r="C77" t="s">
        <v>15</v>
      </c>
      <c r="D77" t="s">
        <v>42</v>
      </c>
      <c r="E77" t="s">
        <v>81</v>
      </c>
      <c r="F77" t="s">
        <v>18</v>
      </c>
      <c r="G77">
        <v>3683</v>
      </c>
      <c r="H77">
        <v>0</v>
      </c>
      <c r="I77" t="s">
        <v>19</v>
      </c>
      <c r="J77" t="s">
        <v>20</v>
      </c>
      <c r="K77">
        <v>6.4000000000000003E-3</v>
      </c>
      <c r="L77">
        <f>K77*G77/744</f>
        <v>3.1681720430107529E-2</v>
      </c>
      <c r="M77" t="s">
        <v>123</v>
      </c>
    </row>
    <row r="78" spans="1:13" x14ac:dyDescent="0.3">
      <c r="A78" t="s">
        <v>13</v>
      </c>
      <c r="B78" t="s">
        <v>14</v>
      </c>
      <c r="C78" t="s">
        <v>109</v>
      </c>
      <c r="D78" t="s">
        <v>110</v>
      </c>
      <c r="E78" t="s">
        <v>111</v>
      </c>
      <c r="F78" t="s">
        <v>67</v>
      </c>
      <c r="G78">
        <v>0.15000000599999999</v>
      </c>
      <c r="H78">
        <v>0.02</v>
      </c>
      <c r="I78" t="s">
        <v>19</v>
      </c>
      <c r="J78" t="s">
        <v>20</v>
      </c>
      <c r="K78">
        <v>6.6000000000000003E-2</v>
      </c>
      <c r="L78">
        <v>9.9000003959999992E-3</v>
      </c>
      <c r="M78" t="s">
        <v>40</v>
      </c>
    </row>
    <row r="79" spans="1:13" x14ac:dyDescent="0.3">
      <c r="A79" t="s">
        <v>13</v>
      </c>
      <c r="B79" t="s">
        <v>14</v>
      </c>
      <c r="C79" t="s">
        <v>36</v>
      </c>
      <c r="D79" t="s">
        <v>29</v>
      </c>
      <c r="E79" t="s">
        <v>38</v>
      </c>
      <c r="F79" t="s">
        <v>31</v>
      </c>
      <c r="G79">
        <v>0</v>
      </c>
      <c r="H79">
        <v>0</v>
      </c>
      <c r="I79" t="s">
        <v>19</v>
      </c>
      <c r="J79" t="s">
        <v>20</v>
      </c>
      <c r="K79">
        <v>0</v>
      </c>
      <c r="L79">
        <v>0</v>
      </c>
      <c r="M79" t="s">
        <v>126</v>
      </c>
    </row>
    <row r="80" spans="1:13" x14ac:dyDescent="0.3">
      <c r="A80" t="s">
        <v>13</v>
      </c>
      <c r="B80" t="s">
        <v>26</v>
      </c>
      <c r="C80" t="s">
        <v>15</v>
      </c>
      <c r="D80" t="s">
        <v>78</v>
      </c>
      <c r="E80" t="s">
        <v>95</v>
      </c>
      <c r="F80" t="s">
        <v>18</v>
      </c>
      <c r="G80">
        <v>1874713</v>
      </c>
      <c r="H80">
        <v>44.37999954</v>
      </c>
      <c r="I80" t="s">
        <v>19</v>
      </c>
      <c r="J80" t="s">
        <v>20</v>
      </c>
      <c r="K80">
        <v>6.4000000000000003E-3</v>
      </c>
      <c r="L80">
        <f>K80*G80/744</f>
        <v>16.126563440860217</v>
      </c>
      <c r="M80" t="s">
        <v>123</v>
      </c>
    </row>
    <row r="81" spans="1:13" x14ac:dyDescent="0.3">
      <c r="A81" t="s">
        <v>13</v>
      </c>
      <c r="B81" t="s">
        <v>14</v>
      </c>
      <c r="C81" t="s">
        <v>36</v>
      </c>
      <c r="D81" t="s">
        <v>112</v>
      </c>
      <c r="E81" t="s">
        <v>100</v>
      </c>
      <c r="F81" t="s">
        <v>39</v>
      </c>
      <c r="G81">
        <v>0.84000000699999999</v>
      </c>
      <c r="H81">
        <v>0.13999999499999999</v>
      </c>
      <c r="I81" t="s">
        <v>19</v>
      </c>
      <c r="J81" t="s">
        <v>20</v>
      </c>
      <c r="K81">
        <v>6.6000000000000003E-2</v>
      </c>
      <c r="L81">
        <v>5.5440000461999997E-2</v>
      </c>
      <c r="M81" t="s">
        <v>40</v>
      </c>
    </row>
    <row r="82" spans="1:13" x14ac:dyDescent="0.3">
      <c r="A82" t="s">
        <v>13</v>
      </c>
      <c r="B82" t="s">
        <v>14</v>
      </c>
      <c r="C82" t="s">
        <v>90</v>
      </c>
      <c r="D82" t="s">
        <v>29</v>
      </c>
      <c r="E82" t="s">
        <v>92</v>
      </c>
      <c r="F82" t="s">
        <v>31</v>
      </c>
      <c r="G82">
        <v>0</v>
      </c>
      <c r="H82">
        <v>0</v>
      </c>
      <c r="I82" t="s">
        <v>19</v>
      </c>
      <c r="J82" t="s">
        <v>20</v>
      </c>
      <c r="K82">
        <v>0</v>
      </c>
      <c r="L82">
        <v>0</v>
      </c>
      <c r="M82" t="s">
        <v>126</v>
      </c>
    </row>
    <row r="83" spans="1:13" x14ac:dyDescent="0.3">
      <c r="A83" t="s">
        <v>13</v>
      </c>
      <c r="B83" t="s">
        <v>14</v>
      </c>
      <c r="C83" t="s">
        <v>64</v>
      </c>
      <c r="D83" t="s">
        <v>29</v>
      </c>
      <c r="E83" t="s">
        <v>66</v>
      </c>
      <c r="F83" t="s">
        <v>31</v>
      </c>
      <c r="G83">
        <v>0</v>
      </c>
      <c r="H83">
        <v>0</v>
      </c>
      <c r="I83" t="s">
        <v>19</v>
      </c>
      <c r="J83" t="s">
        <v>20</v>
      </c>
      <c r="K83">
        <v>0</v>
      </c>
      <c r="L83">
        <v>0</v>
      </c>
      <c r="M83" t="s">
        <v>126</v>
      </c>
    </row>
    <row r="84" spans="1:13" x14ac:dyDescent="0.3">
      <c r="A84" t="s">
        <v>13</v>
      </c>
      <c r="B84" t="s">
        <v>14</v>
      </c>
      <c r="C84" t="s">
        <v>74</v>
      </c>
      <c r="D84" t="s">
        <v>113</v>
      </c>
      <c r="E84" t="s">
        <v>107</v>
      </c>
      <c r="F84" t="s">
        <v>39</v>
      </c>
      <c r="G84">
        <v>0.01</v>
      </c>
      <c r="H84">
        <v>0</v>
      </c>
      <c r="I84" t="s">
        <v>19</v>
      </c>
      <c r="J84" t="s">
        <v>20</v>
      </c>
      <c r="K84">
        <v>6.6000000000000003E-2</v>
      </c>
      <c r="L84">
        <v>6.6E-4</v>
      </c>
      <c r="M84" t="s">
        <v>40</v>
      </c>
    </row>
    <row r="85" spans="1:13" x14ac:dyDescent="0.3">
      <c r="A85" t="s">
        <v>13</v>
      </c>
      <c r="B85" t="s">
        <v>14</v>
      </c>
      <c r="C85" t="s">
        <v>74</v>
      </c>
      <c r="D85" t="s">
        <v>29</v>
      </c>
      <c r="E85" t="s">
        <v>98</v>
      </c>
      <c r="F85" t="s">
        <v>31</v>
      </c>
      <c r="G85">
        <v>0</v>
      </c>
      <c r="H85">
        <v>0</v>
      </c>
      <c r="I85" t="s">
        <v>19</v>
      </c>
      <c r="J85" t="s">
        <v>20</v>
      </c>
      <c r="K85">
        <v>0</v>
      </c>
      <c r="L85">
        <v>0</v>
      </c>
      <c r="M85" t="s">
        <v>126</v>
      </c>
    </row>
    <row r="86" spans="1:13" x14ac:dyDescent="0.3">
      <c r="A86" t="s">
        <v>13</v>
      </c>
      <c r="B86" t="s">
        <v>14</v>
      </c>
      <c r="C86" t="s">
        <v>109</v>
      </c>
      <c r="D86" t="s">
        <v>29</v>
      </c>
      <c r="E86" t="s">
        <v>111</v>
      </c>
      <c r="F86" t="s">
        <v>31</v>
      </c>
      <c r="G86">
        <v>0</v>
      </c>
      <c r="H86">
        <v>0</v>
      </c>
      <c r="I86" t="s">
        <v>19</v>
      </c>
      <c r="J86" t="s">
        <v>20</v>
      </c>
      <c r="K86">
        <v>0</v>
      </c>
      <c r="L86">
        <v>0</v>
      </c>
      <c r="M86" t="s">
        <v>126</v>
      </c>
    </row>
    <row r="87" spans="1:13" x14ac:dyDescent="0.3">
      <c r="A87" t="s">
        <v>13</v>
      </c>
      <c r="B87" t="s">
        <v>14</v>
      </c>
      <c r="C87" t="s">
        <v>15</v>
      </c>
      <c r="D87" t="s">
        <v>48</v>
      </c>
      <c r="E87" t="s">
        <v>114</v>
      </c>
      <c r="F87" t="s">
        <v>18</v>
      </c>
      <c r="G87">
        <v>14880</v>
      </c>
      <c r="H87">
        <v>0</v>
      </c>
      <c r="I87" t="s">
        <v>19</v>
      </c>
      <c r="J87" t="s">
        <v>20</v>
      </c>
      <c r="K87">
        <v>0.12540000000000001</v>
      </c>
      <c r="L87">
        <f>K87*G87/744</f>
        <v>2.5080000000000005</v>
      </c>
      <c r="M87" t="s">
        <v>124</v>
      </c>
    </row>
    <row r="88" spans="1:13" x14ac:dyDescent="0.3">
      <c r="A88" t="s">
        <v>13</v>
      </c>
      <c r="B88" t="s">
        <v>14</v>
      </c>
      <c r="C88" t="s">
        <v>87</v>
      </c>
      <c r="D88" t="s">
        <v>29</v>
      </c>
      <c r="E88" t="s">
        <v>89</v>
      </c>
      <c r="F88" t="s">
        <v>31</v>
      </c>
      <c r="G88">
        <v>0</v>
      </c>
      <c r="H88">
        <v>0</v>
      </c>
      <c r="I88" t="s">
        <v>19</v>
      </c>
      <c r="J88" t="s">
        <v>20</v>
      </c>
      <c r="K88">
        <v>0</v>
      </c>
      <c r="L88">
        <v>0</v>
      </c>
      <c r="M88" t="s">
        <v>126</v>
      </c>
    </row>
    <row r="89" spans="1:13" x14ac:dyDescent="0.3">
      <c r="A89" t="s">
        <v>13</v>
      </c>
      <c r="B89" t="s">
        <v>14</v>
      </c>
      <c r="C89" t="s">
        <v>21</v>
      </c>
      <c r="D89" t="s">
        <v>115</v>
      </c>
      <c r="E89" t="s">
        <v>30</v>
      </c>
      <c r="F89" t="s">
        <v>34</v>
      </c>
      <c r="G89">
        <v>42</v>
      </c>
      <c r="H89">
        <v>0</v>
      </c>
      <c r="I89" t="s">
        <v>19</v>
      </c>
      <c r="J89" t="s">
        <v>20</v>
      </c>
      <c r="K89">
        <v>0.16</v>
      </c>
      <c r="L89">
        <v>6.72E-6</v>
      </c>
      <c r="M89" t="s">
        <v>35</v>
      </c>
    </row>
    <row r="90" spans="1:13" x14ac:dyDescent="0.3">
      <c r="A90" t="s">
        <v>13</v>
      </c>
      <c r="B90" t="s">
        <v>14</v>
      </c>
      <c r="C90" t="s">
        <v>70</v>
      </c>
      <c r="D90" t="s">
        <v>116</v>
      </c>
      <c r="E90" t="s">
        <v>117</v>
      </c>
      <c r="F90" t="s">
        <v>73</v>
      </c>
      <c r="G90">
        <v>5</v>
      </c>
      <c r="H90">
        <v>0</v>
      </c>
      <c r="I90" t="s">
        <v>19</v>
      </c>
      <c r="J90" t="s">
        <v>20</v>
      </c>
      <c r="K90">
        <v>0.16</v>
      </c>
      <c r="L90">
        <v>8.0000000000000007E-7</v>
      </c>
      <c r="M90" t="s">
        <v>35</v>
      </c>
    </row>
    <row r="91" spans="1:13" x14ac:dyDescent="0.3">
      <c r="A91" t="s">
        <v>13</v>
      </c>
      <c r="B91" t="s">
        <v>26</v>
      </c>
      <c r="C91" t="s">
        <v>15</v>
      </c>
      <c r="D91" t="s">
        <v>78</v>
      </c>
      <c r="E91" t="s">
        <v>118</v>
      </c>
      <c r="F91" t="s">
        <v>18</v>
      </c>
      <c r="G91">
        <v>44649</v>
      </c>
      <c r="H91">
        <v>1.1700000319999999</v>
      </c>
      <c r="I91" t="s">
        <v>19</v>
      </c>
      <c r="J91" t="s">
        <v>20</v>
      </c>
      <c r="K91">
        <v>6.4000000000000003E-3</v>
      </c>
      <c r="L91">
        <f t="shared" ref="L91:L92" si="3">K91*G91/744</f>
        <v>0.38407741935483874</v>
      </c>
      <c r="M91" t="s">
        <v>123</v>
      </c>
    </row>
    <row r="92" spans="1:13" x14ac:dyDescent="0.3">
      <c r="A92" t="s">
        <v>13</v>
      </c>
      <c r="B92" t="s">
        <v>14</v>
      </c>
      <c r="C92" t="s">
        <v>15</v>
      </c>
      <c r="D92" t="s">
        <v>106</v>
      </c>
      <c r="E92" t="s">
        <v>81</v>
      </c>
      <c r="F92" t="s">
        <v>18</v>
      </c>
      <c r="G92">
        <v>38115</v>
      </c>
      <c r="H92">
        <v>3.8899999520000001</v>
      </c>
      <c r="I92" t="s">
        <v>19</v>
      </c>
      <c r="J92" t="s">
        <v>20</v>
      </c>
      <c r="K92">
        <v>6.4000000000000003E-3</v>
      </c>
      <c r="L92">
        <f t="shared" si="3"/>
        <v>0.32787096774193547</v>
      </c>
      <c r="M92" t="s">
        <v>123</v>
      </c>
    </row>
    <row r="93" spans="1:13" x14ac:dyDescent="0.3">
      <c r="A93" t="s">
        <v>13</v>
      </c>
      <c r="B93" t="s">
        <v>14</v>
      </c>
      <c r="C93" t="s">
        <v>15</v>
      </c>
      <c r="D93" t="s">
        <v>119</v>
      </c>
      <c r="E93" t="s">
        <v>104</v>
      </c>
      <c r="F93" t="s">
        <v>18</v>
      </c>
      <c r="G93">
        <v>5568</v>
      </c>
      <c r="H93">
        <v>3.229999989</v>
      </c>
      <c r="I93" t="s">
        <v>19</v>
      </c>
      <c r="J93" t="s">
        <v>20</v>
      </c>
      <c r="K93">
        <v>0.12540000000000001</v>
      </c>
      <c r="L93">
        <f>K93*G93/744</f>
        <v>0.93847741935483875</v>
      </c>
      <c r="M93" t="s">
        <v>124</v>
      </c>
    </row>
    <row r="94" spans="1:13" x14ac:dyDescent="0.3">
      <c r="A94" t="s">
        <v>13</v>
      </c>
      <c r="B94" t="s">
        <v>14</v>
      </c>
      <c r="C94" t="s">
        <v>21</v>
      </c>
      <c r="D94" t="s">
        <v>120</v>
      </c>
      <c r="E94" t="s">
        <v>57</v>
      </c>
      <c r="F94" t="s">
        <v>24</v>
      </c>
      <c r="G94">
        <v>2228450147</v>
      </c>
      <c r="H94">
        <v>2185.9199880000001</v>
      </c>
      <c r="I94" t="s">
        <v>19</v>
      </c>
      <c r="J94" t="s">
        <v>20</v>
      </c>
      <c r="K94">
        <v>3.1349999999999998</v>
      </c>
      <c r="L94">
        <v>6986.1912108449997</v>
      </c>
      <c r="M94" t="s">
        <v>25</v>
      </c>
    </row>
    <row r="95" spans="1:13" x14ac:dyDescent="0.3">
      <c r="A95" t="s">
        <v>13</v>
      </c>
      <c r="B95" t="s">
        <v>14</v>
      </c>
      <c r="C95" t="s">
        <v>21</v>
      </c>
      <c r="D95" t="s">
        <v>29</v>
      </c>
      <c r="E95" t="s">
        <v>121</v>
      </c>
      <c r="F95" t="s">
        <v>31</v>
      </c>
      <c r="G95">
        <v>0</v>
      </c>
      <c r="H95">
        <v>0</v>
      </c>
      <c r="I95" t="s">
        <v>19</v>
      </c>
      <c r="J95" t="s">
        <v>20</v>
      </c>
      <c r="K95">
        <v>0</v>
      </c>
      <c r="L95">
        <v>0</v>
      </c>
      <c r="M95" t="s">
        <v>126</v>
      </c>
    </row>
    <row r="96" spans="1:13" x14ac:dyDescent="0.3">
      <c r="A96" t="s">
        <v>13</v>
      </c>
      <c r="B96" t="s">
        <v>14</v>
      </c>
      <c r="C96" t="s">
        <v>15</v>
      </c>
      <c r="D96" t="s">
        <v>29</v>
      </c>
      <c r="E96" t="s">
        <v>104</v>
      </c>
      <c r="F96" t="s">
        <v>31</v>
      </c>
      <c r="G96">
        <v>0</v>
      </c>
      <c r="H96">
        <v>0</v>
      </c>
      <c r="I96" t="s">
        <v>19</v>
      </c>
      <c r="J96" t="s">
        <v>20</v>
      </c>
      <c r="K96">
        <v>0</v>
      </c>
      <c r="L96">
        <v>0</v>
      </c>
      <c r="M96" t="s">
        <v>126</v>
      </c>
    </row>
    <row r="97" spans="1:13" x14ac:dyDescent="0.3">
      <c r="A97" t="s">
        <v>13</v>
      </c>
      <c r="B97" t="s">
        <v>14</v>
      </c>
      <c r="C97" t="s">
        <v>21</v>
      </c>
      <c r="D97" t="s">
        <v>29</v>
      </c>
      <c r="E97" t="s">
        <v>53</v>
      </c>
      <c r="F97" t="s">
        <v>31</v>
      </c>
      <c r="G97">
        <v>0</v>
      </c>
      <c r="H97">
        <v>0</v>
      </c>
      <c r="I97" t="s">
        <v>19</v>
      </c>
      <c r="J97" t="s">
        <v>20</v>
      </c>
      <c r="K97">
        <v>0</v>
      </c>
      <c r="L97">
        <v>0</v>
      </c>
      <c r="M97" t="s">
        <v>126</v>
      </c>
    </row>
    <row r="98" spans="1:13" x14ac:dyDescent="0.3">
      <c r="A98" t="s">
        <v>13</v>
      </c>
      <c r="B98" t="s">
        <v>14</v>
      </c>
      <c r="C98" t="s">
        <v>15</v>
      </c>
      <c r="D98" t="s">
        <v>42</v>
      </c>
      <c r="E98" t="s">
        <v>95</v>
      </c>
      <c r="F98" t="s">
        <v>18</v>
      </c>
      <c r="G98">
        <v>17132</v>
      </c>
      <c r="H98">
        <v>0</v>
      </c>
      <c r="I98" t="s">
        <v>19</v>
      </c>
      <c r="J98" t="s">
        <v>20</v>
      </c>
      <c r="K98">
        <v>6.4000000000000003E-3</v>
      </c>
      <c r="L98">
        <f>K98*G98/744</f>
        <v>0.14737204301075268</v>
      </c>
      <c r="M98" t="s">
        <v>123</v>
      </c>
    </row>
    <row r="99" spans="1:13" x14ac:dyDescent="0.3">
      <c r="A99" t="s">
        <v>13</v>
      </c>
      <c r="B99" t="s">
        <v>14</v>
      </c>
      <c r="C99" t="s">
        <v>21</v>
      </c>
      <c r="D99" t="s">
        <v>122</v>
      </c>
      <c r="E99" t="s">
        <v>121</v>
      </c>
      <c r="F99" t="s">
        <v>34</v>
      </c>
      <c r="G99">
        <v>19473311368</v>
      </c>
      <c r="H99">
        <v>3820.3999709999998</v>
      </c>
      <c r="I99" t="s">
        <v>19</v>
      </c>
      <c r="J99" t="s">
        <v>20</v>
      </c>
      <c r="K99">
        <v>0.16</v>
      </c>
      <c r="L99">
        <v>3115.72981888</v>
      </c>
      <c r="M99" t="s">
        <v>35</v>
      </c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</sheetData>
  <autoFilter ref="A1:M9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Meghana Sharma  Vennampalli</cp:lastModifiedBy>
  <dcterms:created xsi:type="dcterms:W3CDTF">2024-12-17T22:05:25Z</dcterms:created>
  <dcterms:modified xsi:type="dcterms:W3CDTF">2024-12-18T17:00:55Z</dcterms:modified>
</cp:coreProperties>
</file>